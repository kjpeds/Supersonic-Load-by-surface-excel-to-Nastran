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W550\"/>
    </mc:Choice>
  </mc:AlternateContent>
  <bookViews>
    <workbookView xWindow="0" yWindow="0" windowWidth="11970" windowHeight="10185" activeTab="2"/>
  </bookViews>
  <sheets>
    <sheet name="ssStartUp, -17 pitch, +10 yaw" sheetId="1" r:id="rId1"/>
    <sheet name="ssStartUp, -7 pitch" sheetId="2" r:id="rId2"/>
    <sheet name="ssStartup, +15 pitch, +10 yaw" sheetId="6" r:id="rId3"/>
    <sheet name="Sheet1" sheetId="7" r:id="rId4"/>
    <sheet name="ssStartUp, +5 pitch" sheetId="5" r:id="rId5"/>
  </sheets>
  <definedNames>
    <definedName name="femap_dump" localSheetId="3">Sheet1!$J$18:$O$101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5" i="6" l="1"/>
  <c r="P25" i="6" s="1"/>
  <c r="Q25" i="6" s="1"/>
  <c r="AC25" i="6"/>
  <c r="AD25" i="6" s="1"/>
  <c r="AE25" i="6"/>
  <c r="AF25" i="6" s="1"/>
  <c r="AG25" i="6" s="1"/>
  <c r="AI25" i="6"/>
  <c r="AJ25" i="6" s="1"/>
  <c r="AK25" i="6" s="1"/>
  <c r="O26" i="6"/>
  <c r="V26" i="6" s="1"/>
  <c r="AC26" i="6"/>
  <c r="AD26" i="6" s="1"/>
  <c r="AE26" i="6"/>
  <c r="AF26" i="6" s="1"/>
  <c r="AG26" i="6" s="1"/>
  <c r="AI26" i="6"/>
  <c r="AJ26" i="6" s="1"/>
  <c r="AK26" i="6" s="1"/>
  <c r="O27" i="6"/>
  <c r="P27" i="6" s="1"/>
  <c r="Q27" i="6" s="1"/>
  <c r="AC27" i="6"/>
  <c r="AD27" i="6" s="1"/>
  <c r="AE27" i="6"/>
  <c r="AF27" i="6" s="1"/>
  <c r="AG27" i="6" s="1"/>
  <c r="AI27" i="6"/>
  <c r="AJ27" i="6" s="1"/>
  <c r="AK27" i="6" s="1"/>
  <c r="Y26" i="6" l="1"/>
  <c r="Z26" i="6" s="1"/>
  <c r="AA26" i="6" s="1"/>
  <c r="W26" i="6"/>
  <c r="X26" i="6" s="1"/>
  <c r="R26" i="6"/>
  <c r="S26" i="6" s="1"/>
  <c r="T26" i="6" s="1"/>
  <c r="P26" i="6"/>
  <c r="Q26" i="6" s="1"/>
  <c r="R27" i="6"/>
  <c r="S27" i="6" s="1"/>
  <c r="T27" i="6" s="1"/>
  <c r="V27" i="6"/>
  <c r="V25" i="6"/>
  <c r="R25" i="6"/>
  <c r="S25" i="6" s="1"/>
  <c r="T25" i="6" s="1"/>
  <c r="W27" i="6" l="1"/>
  <c r="X27" i="6" s="1"/>
  <c r="Y27" i="6"/>
  <c r="Z27" i="6" s="1"/>
  <c r="AA27" i="6" s="1"/>
  <c r="W25" i="6"/>
  <c r="X25" i="6" s="1"/>
  <c r="Y25" i="6"/>
  <c r="Z25" i="6" s="1"/>
  <c r="AA25" i="6" s="1"/>
  <c r="AC59" i="6" l="1"/>
  <c r="AD59" i="6" s="1"/>
  <c r="AE59" i="6"/>
  <c r="AF59" i="6" s="1"/>
  <c r="AG59" i="6" s="1"/>
  <c r="AI59" i="6"/>
  <c r="AJ59" i="6" s="1"/>
  <c r="AK59" i="6" s="1"/>
  <c r="AC58" i="6"/>
  <c r="AD58" i="6"/>
  <c r="AE58" i="6"/>
  <c r="AF58" i="6" s="1"/>
  <c r="AG58" i="6" s="1"/>
  <c r="AI58" i="6"/>
  <c r="AJ58" i="6" s="1"/>
  <c r="AK58" i="6" s="1"/>
  <c r="AC57" i="6"/>
  <c r="AD57" i="6" s="1"/>
  <c r="AE57" i="6"/>
  <c r="AF57" i="6" s="1"/>
  <c r="AG57" i="6" s="1"/>
  <c r="AI57" i="6"/>
  <c r="AJ57" i="6" s="1"/>
  <c r="AK57" i="6" s="1"/>
  <c r="AC56" i="6"/>
  <c r="AD56" i="6" s="1"/>
  <c r="AE56" i="6"/>
  <c r="AF56" i="6" s="1"/>
  <c r="AG56" i="6" s="1"/>
  <c r="AI56" i="6"/>
  <c r="AJ56" i="6" s="1"/>
  <c r="AK56" i="6" s="1"/>
  <c r="AC55" i="6"/>
  <c r="AD55" i="6" s="1"/>
  <c r="AE55" i="6"/>
  <c r="AF55" i="6" s="1"/>
  <c r="AG55" i="6" s="1"/>
  <c r="AI55" i="6"/>
  <c r="AJ55" i="6" s="1"/>
  <c r="AK55" i="6" s="1"/>
  <c r="AC54" i="6"/>
  <c r="AD54" i="6" s="1"/>
  <c r="AE54" i="6"/>
  <c r="AF54" i="6" s="1"/>
  <c r="AG54" i="6" s="1"/>
  <c r="AI54" i="6"/>
  <c r="AJ54" i="6" s="1"/>
  <c r="AK54" i="6" s="1"/>
  <c r="AC53" i="6"/>
  <c r="AD53" i="6" s="1"/>
  <c r="AE53" i="6"/>
  <c r="AF53" i="6" s="1"/>
  <c r="AG53" i="6" s="1"/>
  <c r="AI53" i="6"/>
  <c r="AJ53" i="6" s="1"/>
  <c r="AK53" i="6" s="1"/>
  <c r="AC52" i="6"/>
  <c r="AD52" i="6" s="1"/>
  <c r="AE52" i="6"/>
  <c r="AF52" i="6" s="1"/>
  <c r="AG52" i="6" s="1"/>
  <c r="AI52" i="6"/>
  <c r="AJ52" i="6" s="1"/>
  <c r="AK52" i="6" s="1"/>
  <c r="AC51" i="6"/>
  <c r="AD51" i="6" s="1"/>
  <c r="AE51" i="6"/>
  <c r="AF51" i="6" s="1"/>
  <c r="AG51" i="6" s="1"/>
  <c r="AI51" i="6"/>
  <c r="AJ51" i="6" s="1"/>
  <c r="AK51" i="6" s="1"/>
  <c r="AC50" i="6"/>
  <c r="AD50" i="6"/>
  <c r="AE50" i="6"/>
  <c r="AF50" i="6" s="1"/>
  <c r="AG50" i="6" s="1"/>
  <c r="AI50" i="6"/>
  <c r="AJ50" i="6" s="1"/>
  <c r="AK50" i="6" s="1"/>
  <c r="O59" i="6"/>
  <c r="P59" i="6" s="1"/>
  <c r="Q59" i="6" s="1"/>
  <c r="O58" i="6"/>
  <c r="P58" i="6" s="1"/>
  <c r="Q58" i="6" s="1"/>
  <c r="O57" i="6"/>
  <c r="P57" i="6" s="1"/>
  <c r="Q57" i="6" s="1"/>
  <c r="V57" i="6"/>
  <c r="W57" i="6" s="1"/>
  <c r="X57" i="6" s="1"/>
  <c r="O56" i="6"/>
  <c r="P56" i="6" s="1"/>
  <c r="Q56" i="6" s="1"/>
  <c r="O55" i="6"/>
  <c r="P55" i="6" s="1"/>
  <c r="Q55" i="6" s="1"/>
  <c r="O54" i="6"/>
  <c r="P54" i="6" s="1"/>
  <c r="Q54" i="6" s="1"/>
  <c r="O53" i="6"/>
  <c r="P53" i="6" s="1"/>
  <c r="Q53" i="6" s="1"/>
  <c r="O52" i="6"/>
  <c r="P52" i="6" s="1"/>
  <c r="Q52" i="6" s="1"/>
  <c r="O51" i="6"/>
  <c r="P51" i="6" s="1"/>
  <c r="Q51" i="6" s="1"/>
  <c r="V51" i="6"/>
  <c r="W51" i="6" s="1"/>
  <c r="X51" i="6" s="1"/>
  <c r="Y51" i="6"/>
  <c r="Z51" i="6" s="1"/>
  <c r="AA51" i="6" s="1"/>
  <c r="O50" i="6"/>
  <c r="P50" i="6" s="1"/>
  <c r="Q50" i="6" s="1"/>
  <c r="V59" i="6" l="1"/>
  <c r="R59" i="6"/>
  <c r="S59" i="6" s="1"/>
  <c r="T59" i="6" s="1"/>
  <c r="R58" i="6"/>
  <c r="S58" i="6" s="1"/>
  <c r="T58" i="6" s="1"/>
  <c r="V58" i="6"/>
  <c r="Y57" i="6"/>
  <c r="Z57" i="6" s="1"/>
  <c r="AA57" i="6" s="1"/>
  <c r="R57" i="6"/>
  <c r="S57" i="6" s="1"/>
  <c r="T57" i="6" s="1"/>
  <c r="R56" i="6"/>
  <c r="S56" i="6" s="1"/>
  <c r="T56" i="6" s="1"/>
  <c r="V56" i="6"/>
  <c r="V55" i="6"/>
  <c r="R55" i="6"/>
  <c r="S55" i="6" s="1"/>
  <c r="T55" i="6" s="1"/>
  <c r="V54" i="6"/>
  <c r="R54" i="6"/>
  <c r="S54" i="6" s="1"/>
  <c r="T54" i="6" s="1"/>
  <c r="V53" i="6"/>
  <c r="R53" i="6"/>
  <c r="S53" i="6" s="1"/>
  <c r="T53" i="6" s="1"/>
  <c r="V52" i="6"/>
  <c r="R52" i="6"/>
  <c r="S52" i="6" s="1"/>
  <c r="T52" i="6" s="1"/>
  <c r="R51" i="6"/>
  <c r="S51" i="6" s="1"/>
  <c r="T51" i="6" s="1"/>
  <c r="V50" i="6"/>
  <c r="R50" i="6"/>
  <c r="S50" i="6" s="1"/>
  <c r="T50" i="6" s="1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4" i="6"/>
  <c r="V4" i="6" s="1"/>
  <c r="W59" i="6" l="1"/>
  <c r="X59" i="6" s="1"/>
  <c r="Y59" i="6"/>
  <c r="Z59" i="6" s="1"/>
  <c r="AA59" i="6" s="1"/>
  <c r="W58" i="6"/>
  <c r="X58" i="6" s="1"/>
  <c r="Y58" i="6"/>
  <c r="Z58" i="6" s="1"/>
  <c r="AA58" i="6" s="1"/>
  <c r="W56" i="6"/>
  <c r="X56" i="6" s="1"/>
  <c r="Y56" i="6"/>
  <c r="Z56" i="6" s="1"/>
  <c r="AA56" i="6" s="1"/>
  <c r="W55" i="6"/>
  <c r="X55" i="6" s="1"/>
  <c r="Y55" i="6"/>
  <c r="Z55" i="6" s="1"/>
  <c r="AA55" i="6" s="1"/>
  <c r="W54" i="6"/>
  <c r="X54" i="6" s="1"/>
  <c r="Y54" i="6"/>
  <c r="Z54" i="6" s="1"/>
  <c r="AA54" i="6" s="1"/>
  <c r="W53" i="6"/>
  <c r="X53" i="6" s="1"/>
  <c r="Y53" i="6"/>
  <c r="Z53" i="6" s="1"/>
  <c r="AA53" i="6" s="1"/>
  <c r="Y52" i="6"/>
  <c r="Z52" i="6" s="1"/>
  <c r="AA52" i="6" s="1"/>
  <c r="W52" i="6"/>
  <c r="X52" i="6" s="1"/>
  <c r="W50" i="6"/>
  <c r="X50" i="6" s="1"/>
  <c r="Y50" i="6"/>
  <c r="Z50" i="6" s="1"/>
  <c r="AA50" i="6" s="1"/>
  <c r="V5" i="6"/>
  <c r="Y5" i="6" s="1"/>
  <c r="Z5" i="6" s="1"/>
  <c r="AA5" i="6" s="1"/>
  <c r="V6" i="6"/>
  <c r="Y6" i="6" s="1"/>
  <c r="Z6" i="6" s="1"/>
  <c r="AA6" i="6" s="1"/>
  <c r="V7" i="6"/>
  <c r="V8" i="6"/>
  <c r="Y8" i="6" s="1"/>
  <c r="Z8" i="6" s="1"/>
  <c r="AA8" i="6" s="1"/>
  <c r="V9" i="6"/>
  <c r="V10" i="6"/>
  <c r="Y10" i="6" s="1"/>
  <c r="Z10" i="6" s="1"/>
  <c r="AA10" i="6" s="1"/>
  <c r="V11" i="6"/>
  <c r="Y11" i="6" s="1"/>
  <c r="Z11" i="6" s="1"/>
  <c r="AA11" i="6" s="1"/>
  <c r="V12" i="6"/>
  <c r="Y12" i="6" s="1"/>
  <c r="Z12" i="6" s="1"/>
  <c r="AA12" i="6" s="1"/>
  <c r="V13" i="6"/>
  <c r="Y13" i="6" s="1"/>
  <c r="Z13" i="6" s="1"/>
  <c r="AA13" i="6" s="1"/>
  <c r="V14" i="6"/>
  <c r="Y14" i="6" s="1"/>
  <c r="Z14" i="6" s="1"/>
  <c r="AA14" i="6" s="1"/>
  <c r="V15" i="6"/>
  <c r="Y15" i="6" s="1"/>
  <c r="Z15" i="6" s="1"/>
  <c r="AA15" i="6" s="1"/>
  <c r="V16" i="6"/>
  <c r="Y16" i="6" s="1"/>
  <c r="Z16" i="6" s="1"/>
  <c r="AA16" i="6" s="1"/>
  <c r="V17" i="6"/>
  <c r="Y17" i="6" s="1"/>
  <c r="Z17" i="6" s="1"/>
  <c r="AA17" i="6" s="1"/>
  <c r="V18" i="6"/>
  <c r="Y18" i="6" s="1"/>
  <c r="Z18" i="6" s="1"/>
  <c r="AA18" i="6" s="1"/>
  <c r="V19" i="6"/>
  <c r="Y19" i="6" s="1"/>
  <c r="Z19" i="6" s="1"/>
  <c r="AA19" i="6" s="1"/>
  <c r="V20" i="6"/>
  <c r="Y20" i="6" s="1"/>
  <c r="Z20" i="6" s="1"/>
  <c r="AA20" i="6" s="1"/>
  <c r="V21" i="6"/>
  <c r="Y21" i="6" s="1"/>
  <c r="Z21" i="6" s="1"/>
  <c r="AA21" i="6" s="1"/>
  <c r="V22" i="6"/>
  <c r="Y22" i="6" s="1"/>
  <c r="Z22" i="6" s="1"/>
  <c r="AA22" i="6" s="1"/>
  <c r="V23" i="6"/>
  <c r="Y23" i="6" s="1"/>
  <c r="Z23" i="6" s="1"/>
  <c r="AA23" i="6" s="1"/>
  <c r="V24" i="6"/>
  <c r="Y24" i="6" s="1"/>
  <c r="Z24" i="6" s="1"/>
  <c r="AA24" i="6" s="1"/>
  <c r="V28" i="6"/>
  <c r="Y28" i="6" s="1"/>
  <c r="Z28" i="6" s="1"/>
  <c r="AA28" i="6" s="1"/>
  <c r="V29" i="6"/>
  <c r="Y29" i="6" s="1"/>
  <c r="Z29" i="6" s="1"/>
  <c r="AA29" i="6" s="1"/>
  <c r="V30" i="6"/>
  <c r="Y30" i="6" s="1"/>
  <c r="Z30" i="6" s="1"/>
  <c r="AA30" i="6" s="1"/>
  <c r="V31" i="6"/>
  <c r="Y31" i="6" s="1"/>
  <c r="Z31" i="6" s="1"/>
  <c r="AA31" i="6" s="1"/>
  <c r="V32" i="6"/>
  <c r="Y32" i="6" s="1"/>
  <c r="Z32" i="6" s="1"/>
  <c r="AA32" i="6" s="1"/>
  <c r="V33" i="6"/>
  <c r="Y33" i="6" s="1"/>
  <c r="Z33" i="6" s="1"/>
  <c r="AA33" i="6" s="1"/>
  <c r="V34" i="6"/>
  <c r="Y34" i="6" s="1"/>
  <c r="Z34" i="6" s="1"/>
  <c r="AA34" i="6" s="1"/>
  <c r="V35" i="6"/>
  <c r="Y35" i="6" s="1"/>
  <c r="Z35" i="6" s="1"/>
  <c r="AA35" i="6" s="1"/>
  <c r="V36" i="6"/>
  <c r="Y36" i="6" s="1"/>
  <c r="Z36" i="6" s="1"/>
  <c r="AA36" i="6" s="1"/>
  <c r="V37" i="6"/>
  <c r="Y37" i="6" s="1"/>
  <c r="Z37" i="6" s="1"/>
  <c r="AA37" i="6" s="1"/>
  <c r="V38" i="6"/>
  <c r="Y38" i="6" s="1"/>
  <c r="Z38" i="6" s="1"/>
  <c r="AA38" i="6" s="1"/>
  <c r="V39" i="6"/>
  <c r="Y39" i="6" s="1"/>
  <c r="Z39" i="6" s="1"/>
  <c r="AA39" i="6" s="1"/>
  <c r="V40" i="6"/>
  <c r="Y40" i="6" s="1"/>
  <c r="Z40" i="6" s="1"/>
  <c r="AA40" i="6" s="1"/>
  <c r="V41" i="6"/>
  <c r="Y41" i="6" s="1"/>
  <c r="Z41" i="6" s="1"/>
  <c r="AA41" i="6" s="1"/>
  <c r="V42" i="6"/>
  <c r="Y42" i="6" s="1"/>
  <c r="Z42" i="6" s="1"/>
  <c r="AA42" i="6" s="1"/>
  <c r="V43" i="6"/>
  <c r="Y43" i="6" s="1"/>
  <c r="Z43" i="6" s="1"/>
  <c r="AA43" i="6" s="1"/>
  <c r="V44" i="6"/>
  <c r="Y44" i="6" s="1"/>
  <c r="Z44" i="6" s="1"/>
  <c r="AA44" i="6" s="1"/>
  <c r="V45" i="6"/>
  <c r="Y45" i="6" s="1"/>
  <c r="Z45" i="6" s="1"/>
  <c r="AA45" i="6" s="1"/>
  <c r="V46" i="6"/>
  <c r="Y46" i="6" s="1"/>
  <c r="Z46" i="6" s="1"/>
  <c r="AA46" i="6" s="1"/>
  <c r="V47" i="6"/>
  <c r="Y47" i="6" s="1"/>
  <c r="Z47" i="6" s="1"/>
  <c r="AA47" i="6" s="1"/>
  <c r="V48" i="6"/>
  <c r="Y48" i="6" s="1"/>
  <c r="Z48" i="6" s="1"/>
  <c r="AA48" i="6" s="1"/>
  <c r="V49" i="6"/>
  <c r="Y49" i="6" s="1"/>
  <c r="Z49" i="6" s="1"/>
  <c r="AA49" i="6" s="1"/>
  <c r="Y4" i="6"/>
  <c r="Z4" i="6" s="1"/>
  <c r="AA4" i="6" s="1"/>
  <c r="Y7" i="6"/>
  <c r="Z7" i="6" s="1"/>
  <c r="AA7" i="6" s="1"/>
  <c r="Y9" i="6"/>
  <c r="Z9" i="6" s="1"/>
  <c r="AA9" i="6" s="1"/>
  <c r="I48" i="2" l="1"/>
  <c r="J48" i="2" s="1"/>
  <c r="K48" i="2"/>
  <c r="L48" i="2"/>
  <c r="M48" i="2" s="1"/>
  <c r="O48" i="2"/>
  <c r="P48" i="2"/>
  <c r="Q48" i="2"/>
  <c r="I49" i="2"/>
  <c r="J49" i="2"/>
  <c r="K49" i="2"/>
  <c r="L49" i="2"/>
  <c r="M49" i="2"/>
  <c r="O49" i="2"/>
  <c r="P49" i="2"/>
  <c r="Q49" i="2"/>
  <c r="I50" i="2"/>
  <c r="J50" i="2"/>
  <c r="K50" i="2"/>
  <c r="L50" i="2"/>
  <c r="M50" i="2"/>
  <c r="O50" i="2"/>
  <c r="P50" i="2"/>
  <c r="Q50" i="2"/>
  <c r="I50" i="1"/>
  <c r="I49" i="1"/>
  <c r="I48" i="1"/>
  <c r="J18" i="1"/>
  <c r="K18" i="1"/>
  <c r="L18" i="1" s="1"/>
  <c r="M18" i="1" s="1"/>
  <c r="O18" i="1"/>
  <c r="P18" i="1" s="1"/>
  <c r="Q18" i="1" s="1"/>
  <c r="J19" i="1"/>
  <c r="K19" i="1"/>
  <c r="L19" i="1"/>
  <c r="M19" i="1"/>
  <c r="O19" i="1"/>
  <c r="P19" i="1"/>
  <c r="Q19" i="1"/>
  <c r="J20" i="1"/>
  <c r="K20" i="1"/>
  <c r="L20" i="1" s="1"/>
  <c r="M20" i="1" s="1"/>
  <c r="O20" i="1"/>
  <c r="P20" i="1"/>
  <c r="Q20" i="1"/>
  <c r="J21" i="1"/>
  <c r="K21" i="1"/>
  <c r="L21" i="1"/>
  <c r="M21" i="1" s="1"/>
  <c r="O21" i="1"/>
  <c r="P21" i="1" s="1"/>
  <c r="Q21" i="1" s="1"/>
  <c r="J22" i="1"/>
  <c r="K22" i="1"/>
  <c r="L22" i="1"/>
  <c r="M22" i="1"/>
  <c r="O22" i="1"/>
  <c r="P22" i="1"/>
  <c r="Q22" i="1"/>
  <c r="J23" i="1"/>
  <c r="K23" i="1"/>
  <c r="L23" i="1"/>
  <c r="M23" i="1"/>
  <c r="O23" i="1"/>
  <c r="P23" i="1" s="1"/>
  <c r="Q23" i="1" s="1"/>
  <c r="J24" i="1"/>
  <c r="K24" i="1"/>
  <c r="L24" i="1"/>
  <c r="M24" i="1"/>
  <c r="O24" i="1"/>
  <c r="P24" i="1"/>
  <c r="Q24" i="1" s="1"/>
  <c r="K25" i="1"/>
  <c r="L25" i="1" s="1"/>
  <c r="M25" i="1" s="1"/>
  <c r="O25" i="1"/>
  <c r="P25" i="1" s="1"/>
  <c r="Q25" i="1" s="1"/>
  <c r="J26" i="1"/>
  <c r="K26" i="1"/>
  <c r="L26" i="1"/>
  <c r="M26" i="1"/>
  <c r="O26" i="1"/>
  <c r="P26" i="1"/>
  <c r="Q26" i="1"/>
  <c r="K27" i="1"/>
  <c r="L27" i="1" s="1"/>
  <c r="M27" i="1" s="1"/>
  <c r="O27" i="1"/>
  <c r="P27" i="1"/>
  <c r="Q27" i="1" s="1"/>
  <c r="K28" i="1"/>
  <c r="L28" i="1" s="1"/>
  <c r="M28" i="1" s="1"/>
  <c r="O28" i="1"/>
  <c r="P28" i="1" s="1"/>
  <c r="Q28" i="1" s="1"/>
  <c r="J29" i="1"/>
  <c r="K29" i="1"/>
  <c r="L29" i="1"/>
  <c r="M29" i="1" s="1"/>
  <c r="O29" i="1"/>
  <c r="P29" i="1"/>
  <c r="Q29" i="1"/>
  <c r="J30" i="1"/>
  <c r="K30" i="1"/>
  <c r="L30" i="1"/>
  <c r="M30" i="1"/>
  <c r="O30" i="1"/>
  <c r="P30" i="1"/>
  <c r="Q30" i="1"/>
  <c r="J31" i="1"/>
  <c r="K31" i="1"/>
  <c r="L31" i="1"/>
  <c r="M31" i="1"/>
  <c r="O31" i="1"/>
  <c r="P31" i="1" s="1"/>
  <c r="Q31" i="1" s="1"/>
  <c r="K32" i="1"/>
  <c r="L32" i="1" s="1"/>
  <c r="M32" i="1" s="1"/>
  <c r="O32" i="1"/>
  <c r="P32" i="1" s="1"/>
  <c r="Q32" i="1" s="1"/>
  <c r="K33" i="1"/>
  <c r="L33" i="1" s="1"/>
  <c r="M33" i="1" s="1"/>
  <c r="O33" i="1"/>
  <c r="P33" i="1" s="1"/>
  <c r="Q33" i="1" s="1"/>
  <c r="K34" i="1"/>
  <c r="L34" i="1" s="1"/>
  <c r="M34" i="1" s="1"/>
  <c r="O34" i="1"/>
  <c r="P34" i="1" s="1"/>
  <c r="Q34" i="1" s="1"/>
  <c r="K35" i="1"/>
  <c r="L35" i="1" s="1"/>
  <c r="M35" i="1" s="1"/>
  <c r="O35" i="1"/>
  <c r="P35" i="1" s="1"/>
  <c r="Q35" i="1" s="1"/>
  <c r="K36" i="1"/>
  <c r="L36" i="1" s="1"/>
  <c r="M36" i="1" s="1"/>
  <c r="O36" i="1"/>
  <c r="P36" i="1" s="1"/>
  <c r="Q36" i="1" s="1"/>
  <c r="K37" i="1"/>
  <c r="L37" i="1" s="1"/>
  <c r="M37" i="1" s="1"/>
  <c r="O37" i="1"/>
  <c r="P37" i="1" s="1"/>
  <c r="Q37" i="1" s="1"/>
  <c r="K38" i="1"/>
  <c r="L38" i="1"/>
  <c r="M38" i="1"/>
  <c r="O38" i="1"/>
  <c r="P38" i="1" s="1"/>
  <c r="Q38" i="1" s="1"/>
  <c r="K39" i="1"/>
  <c r="L39" i="1" s="1"/>
  <c r="M39" i="1" s="1"/>
  <c r="O39" i="1"/>
  <c r="P39" i="1" s="1"/>
  <c r="Q39" i="1" s="1"/>
  <c r="K40" i="1"/>
  <c r="L40" i="1" s="1"/>
  <c r="M40" i="1" s="1"/>
  <c r="O40" i="1"/>
  <c r="P40" i="1" s="1"/>
  <c r="Q40" i="1" s="1"/>
  <c r="J41" i="1"/>
  <c r="K41" i="1"/>
  <c r="L41" i="1"/>
  <c r="M41" i="1"/>
  <c r="O41" i="1"/>
  <c r="P41" i="1"/>
  <c r="Q41" i="1"/>
  <c r="J42" i="1"/>
  <c r="K42" i="1"/>
  <c r="L42" i="1"/>
  <c r="M42" i="1" s="1"/>
  <c r="O42" i="1"/>
  <c r="P42" i="1" s="1"/>
  <c r="Q42" i="1" s="1"/>
  <c r="K43" i="1"/>
  <c r="L43" i="1" s="1"/>
  <c r="M43" i="1" s="1"/>
  <c r="O43" i="1"/>
  <c r="P43" i="1" s="1"/>
  <c r="Q43" i="1" s="1"/>
  <c r="K44" i="1"/>
  <c r="L44" i="1" s="1"/>
  <c r="M44" i="1" s="1"/>
  <c r="O44" i="1"/>
  <c r="P44" i="1" s="1"/>
  <c r="Q44" i="1" s="1"/>
  <c r="J45" i="1"/>
  <c r="K45" i="1"/>
  <c r="L45" i="1"/>
  <c r="M45" i="1" s="1"/>
  <c r="O45" i="1"/>
  <c r="P45" i="1"/>
  <c r="Q45" i="1" s="1"/>
  <c r="J46" i="1"/>
  <c r="K46" i="1"/>
  <c r="L46" i="1"/>
  <c r="M46" i="1"/>
  <c r="O46" i="1"/>
  <c r="P46" i="1"/>
  <c r="Q46" i="1"/>
  <c r="K47" i="1"/>
  <c r="L47" i="1"/>
  <c r="M47" i="1" s="1"/>
  <c r="O47" i="1"/>
  <c r="P47" i="1" s="1"/>
  <c r="Q47" i="1" s="1"/>
  <c r="J48" i="1"/>
  <c r="K48" i="1"/>
  <c r="L48" i="1" s="1"/>
  <c r="M48" i="1" s="1"/>
  <c r="O48" i="1"/>
  <c r="P48" i="1" s="1"/>
  <c r="Q48" i="1" s="1"/>
  <c r="J49" i="1"/>
  <c r="K49" i="1"/>
  <c r="L49" i="1" s="1"/>
  <c r="M49" i="1" s="1"/>
  <c r="O49" i="1"/>
  <c r="P49" i="1" s="1"/>
  <c r="Q49" i="1" s="1"/>
  <c r="J50" i="1"/>
  <c r="K50" i="1"/>
  <c r="L50" i="1" s="1"/>
  <c r="M50" i="1" s="1"/>
  <c r="O50" i="1"/>
  <c r="P50" i="1"/>
  <c r="Q50" i="1" s="1"/>
  <c r="S5" i="5"/>
  <c r="T5" i="5" s="1"/>
  <c r="U5" i="5"/>
  <c r="V5" i="5" s="1"/>
  <c r="W5" i="5" s="1"/>
  <c r="Y5" i="5"/>
  <c r="Z5" i="5" s="1"/>
  <c r="AA5" i="5" s="1"/>
  <c r="S6" i="5"/>
  <c r="T6" i="5"/>
  <c r="U6" i="5"/>
  <c r="V6" i="5" s="1"/>
  <c r="W6" i="5" s="1"/>
  <c r="Y6" i="5"/>
  <c r="Z6" i="5" s="1"/>
  <c r="AA6" i="5" s="1"/>
  <c r="S7" i="5"/>
  <c r="T7" i="5"/>
  <c r="U7" i="5"/>
  <c r="V7" i="5"/>
  <c r="W7" i="5"/>
  <c r="Y7" i="5"/>
  <c r="Z7" i="5" s="1"/>
  <c r="AA7" i="5" s="1"/>
  <c r="S8" i="5"/>
  <c r="T8" i="5" s="1"/>
  <c r="U8" i="5"/>
  <c r="V8" i="5" s="1"/>
  <c r="W8" i="5" s="1"/>
  <c r="Y8" i="5"/>
  <c r="Z8" i="5" s="1"/>
  <c r="AA8" i="5" s="1"/>
  <c r="S9" i="5"/>
  <c r="T9" i="5"/>
  <c r="U9" i="5"/>
  <c r="V9" i="5"/>
  <c r="W9" i="5"/>
  <c r="Y9" i="5"/>
  <c r="Z9" i="5" s="1"/>
  <c r="AA9" i="5" s="1"/>
  <c r="S10" i="5"/>
  <c r="T10" i="5"/>
  <c r="U10" i="5"/>
  <c r="V10" i="5"/>
  <c r="W10" i="5" s="1"/>
  <c r="Y10" i="5"/>
  <c r="Z10" i="5"/>
  <c r="AA10" i="5"/>
  <c r="S11" i="5"/>
  <c r="T11" i="5" s="1"/>
  <c r="U11" i="5"/>
  <c r="V11" i="5" s="1"/>
  <c r="W11" i="5" s="1"/>
  <c r="Y11" i="5"/>
  <c r="Z11" i="5" s="1"/>
  <c r="AA11" i="5" s="1"/>
  <c r="S12" i="5"/>
  <c r="T12" i="5"/>
  <c r="U12" i="5"/>
  <c r="V12" i="5" s="1"/>
  <c r="W12" i="5" s="1"/>
  <c r="Y12" i="5"/>
  <c r="Z12" i="5" s="1"/>
  <c r="AA12" i="5" s="1"/>
  <c r="S13" i="5"/>
  <c r="T13" i="5"/>
  <c r="U13" i="5"/>
  <c r="V13" i="5" s="1"/>
  <c r="W13" i="5" s="1"/>
  <c r="Y13" i="5"/>
  <c r="Z13" i="5" s="1"/>
  <c r="AA13" i="5" s="1"/>
  <c r="S14" i="5"/>
  <c r="T14" i="5" s="1"/>
  <c r="U14" i="5"/>
  <c r="V14" i="5" s="1"/>
  <c r="W14" i="5" s="1"/>
  <c r="Y14" i="5"/>
  <c r="Z14" i="5" s="1"/>
  <c r="AA14" i="5" s="1"/>
  <c r="S15" i="5"/>
  <c r="T15" i="5"/>
  <c r="U15" i="5"/>
  <c r="V15" i="5"/>
  <c r="W15" i="5"/>
  <c r="Y15" i="5"/>
  <c r="Z15" i="5" s="1"/>
  <c r="AA15" i="5" s="1"/>
  <c r="S16" i="5"/>
  <c r="T16" i="5"/>
  <c r="U16" i="5"/>
  <c r="V16" i="5" s="1"/>
  <c r="W16" i="5" s="1"/>
  <c r="Y16" i="5"/>
  <c r="Z16" i="5"/>
  <c r="AA16" i="5" s="1"/>
  <c r="S17" i="5"/>
  <c r="T17" i="5" s="1"/>
  <c r="U17" i="5"/>
  <c r="V17" i="5" s="1"/>
  <c r="W17" i="5" s="1"/>
  <c r="Y17" i="5"/>
  <c r="Z17" i="5" s="1"/>
  <c r="AA17" i="5" s="1"/>
  <c r="S18" i="5"/>
  <c r="T18" i="5"/>
  <c r="U18" i="5"/>
  <c r="V18" i="5"/>
  <c r="W18" i="5"/>
  <c r="Y18" i="5"/>
  <c r="Z18" i="5" s="1"/>
  <c r="AA18" i="5" s="1"/>
  <c r="S19" i="5"/>
  <c r="T19" i="5"/>
  <c r="U19" i="5"/>
  <c r="V19" i="5"/>
  <c r="W19" i="5"/>
  <c r="Y19" i="5"/>
  <c r="Z19" i="5"/>
  <c r="AA19" i="5"/>
  <c r="S20" i="5"/>
  <c r="T20" i="5" s="1"/>
  <c r="U20" i="5"/>
  <c r="V20" i="5" s="1"/>
  <c r="W20" i="5" s="1"/>
  <c r="Y20" i="5"/>
  <c r="Z20" i="5" s="1"/>
  <c r="AA20" i="5" s="1"/>
  <c r="S21" i="5"/>
  <c r="T21" i="5"/>
  <c r="U21" i="5"/>
  <c r="V21" i="5" s="1"/>
  <c r="W21" i="5" s="1"/>
  <c r="Y21" i="5"/>
  <c r="Z21" i="5" s="1"/>
  <c r="AA21" i="5" s="1"/>
  <c r="S22" i="5"/>
  <c r="T22" i="5"/>
  <c r="U22" i="5"/>
  <c r="V22" i="5" s="1"/>
  <c r="W22" i="5" s="1"/>
  <c r="Y22" i="5"/>
  <c r="Z22" i="5"/>
  <c r="AA22" i="5"/>
  <c r="S23" i="5"/>
  <c r="T23" i="5" s="1"/>
  <c r="U23" i="5"/>
  <c r="V23" i="5" s="1"/>
  <c r="W23" i="5" s="1"/>
  <c r="Y23" i="5"/>
  <c r="Z23" i="5" s="1"/>
  <c r="AA23" i="5" s="1"/>
  <c r="S24" i="5"/>
  <c r="T24" i="5"/>
  <c r="U24" i="5"/>
  <c r="V24" i="5"/>
  <c r="W24" i="5"/>
  <c r="Y24" i="5"/>
  <c r="Z24" i="5" s="1"/>
  <c r="AA24" i="5" s="1"/>
  <c r="S25" i="5"/>
  <c r="T25" i="5"/>
  <c r="U25" i="5"/>
  <c r="V25" i="5"/>
  <c r="W25" i="5" s="1"/>
  <c r="Y25" i="5"/>
  <c r="Z25" i="5"/>
  <c r="AA25" i="5" s="1"/>
  <c r="S26" i="5"/>
  <c r="T26" i="5" s="1"/>
  <c r="U26" i="5"/>
  <c r="V26" i="5" s="1"/>
  <c r="W26" i="5" s="1"/>
  <c r="Y26" i="5"/>
  <c r="Z26" i="5" s="1"/>
  <c r="AA26" i="5" s="1"/>
  <c r="S27" i="5"/>
  <c r="T27" i="5"/>
  <c r="U27" i="5"/>
  <c r="V27" i="5"/>
  <c r="W27" i="5" s="1"/>
  <c r="Y27" i="5"/>
  <c r="Z27" i="5" s="1"/>
  <c r="AA27" i="5" s="1"/>
  <c r="S28" i="5"/>
  <c r="T28" i="5"/>
  <c r="U28" i="5"/>
  <c r="V28" i="5"/>
  <c r="W28" i="5"/>
  <c r="Y28" i="5"/>
  <c r="Z28" i="5" s="1"/>
  <c r="AA28" i="5" s="1"/>
  <c r="S29" i="5"/>
  <c r="T29" i="5" s="1"/>
  <c r="U29" i="5"/>
  <c r="V29" i="5" s="1"/>
  <c r="W29" i="5" s="1"/>
  <c r="Y29" i="5"/>
  <c r="Z29" i="5" s="1"/>
  <c r="AA29" i="5" s="1"/>
  <c r="S30" i="5"/>
  <c r="T30" i="5"/>
  <c r="U30" i="5"/>
  <c r="V30" i="5" s="1"/>
  <c r="W30" i="5" s="1"/>
  <c r="Y30" i="5"/>
  <c r="Z30" i="5" s="1"/>
  <c r="AA30" i="5" s="1"/>
  <c r="S31" i="5"/>
  <c r="T31" i="5"/>
  <c r="U31" i="5"/>
  <c r="V31" i="5"/>
  <c r="W31" i="5"/>
  <c r="Y31" i="5"/>
  <c r="Z31" i="5"/>
  <c r="AA31" i="5"/>
  <c r="S32" i="5"/>
  <c r="T32" i="5" s="1"/>
  <c r="U32" i="5"/>
  <c r="V32" i="5" s="1"/>
  <c r="W32" i="5" s="1"/>
  <c r="Y32" i="5"/>
  <c r="Z32" i="5" s="1"/>
  <c r="AA32" i="5" s="1"/>
  <c r="S33" i="5"/>
  <c r="T33" i="5"/>
  <c r="U33" i="5"/>
  <c r="V33" i="5" s="1"/>
  <c r="W33" i="5" s="1"/>
  <c r="Y33" i="5"/>
  <c r="Z33" i="5" s="1"/>
  <c r="AA33" i="5" s="1"/>
  <c r="S34" i="5"/>
  <c r="T34" i="5"/>
  <c r="U34" i="5"/>
  <c r="V34" i="5"/>
  <c r="W34" i="5" s="1"/>
  <c r="Y34" i="5"/>
  <c r="Z34" i="5"/>
  <c r="AA34" i="5" s="1"/>
  <c r="S35" i="5"/>
  <c r="T35" i="5" s="1"/>
  <c r="U35" i="5"/>
  <c r="V35" i="5" s="1"/>
  <c r="W35" i="5" s="1"/>
  <c r="Y35" i="5"/>
  <c r="Z35" i="5" s="1"/>
  <c r="AA35" i="5" s="1"/>
  <c r="S36" i="5"/>
  <c r="T36" i="5"/>
  <c r="U36" i="5"/>
  <c r="V36" i="5"/>
  <c r="W36" i="5"/>
  <c r="Y36" i="5"/>
  <c r="Z36" i="5" s="1"/>
  <c r="AA36" i="5" s="1"/>
  <c r="S37" i="5"/>
  <c r="T37" i="5"/>
  <c r="U37" i="5"/>
  <c r="V37" i="5" s="1"/>
  <c r="W37" i="5" s="1"/>
  <c r="Y37" i="5"/>
  <c r="Z37" i="5"/>
  <c r="AA37" i="5"/>
  <c r="S38" i="5"/>
  <c r="T38" i="5" s="1"/>
  <c r="U38" i="5"/>
  <c r="V38" i="5" s="1"/>
  <c r="W38" i="5" s="1"/>
  <c r="Y38" i="5"/>
  <c r="Z38" i="5" s="1"/>
  <c r="AA38" i="5" s="1"/>
  <c r="S39" i="5"/>
  <c r="T39" i="5"/>
  <c r="U39" i="5"/>
  <c r="V39" i="5" s="1"/>
  <c r="W39" i="5" s="1"/>
  <c r="Y39" i="5"/>
  <c r="Z39" i="5" s="1"/>
  <c r="AA39" i="5" s="1"/>
  <c r="S40" i="5"/>
  <c r="T40" i="5"/>
  <c r="U40" i="5"/>
  <c r="V40" i="5"/>
  <c r="W40" i="5"/>
  <c r="Y40" i="5"/>
  <c r="Z40" i="5"/>
  <c r="AA40" i="5"/>
  <c r="S41" i="5"/>
  <c r="T41" i="5" s="1"/>
  <c r="U41" i="5"/>
  <c r="V41" i="5" s="1"/>
  <c r="W41" i="5" s="1"/>
  <c r="Y41" i="5"/>
  <c r="Z41" i="5" s="1"/>
  <c r="AA41" i="5" s="1"/>
  <c r="S42" i="5"/>
  <c r="T42" i="5"/>
  <c r="U42" i="5"/>
  <c r="V42" i="5"/>
  <c r="W42" i="5" s="1"/>
  <c r="Y42" i="5"/>
  <c r="Z42" i="5" s="1"/>
  <c r="AA42" i="5" s="1"/>
  <c r="S43" i="5"/>
  <c r="T43" i="5"/>
  <c r="U43" i="5"/>
  <c r="V43" i="5"/>
  <c r="W43" i="5" s="1"/>
  <c r="Y43" i="5"/>
  <c r="Z43" i="5"/>
  <c r="AA43" i="5"/>
  <c r="S44" i="5"/>
  <c r="T44" i="5" s="1"/>
  <c r="U44" i="5"/>
  <c r="V44" i="5" s="1"/>
  <c r="W44" i="5" s="1"/>
  <c r="Y44" i="5"/>
  <c r="Z44" i="5" s="1"/>
  <c r="AA44" i="5" s="1"/>
  <c r="S45" i="5"/>
  <c r="T45" i="5"/>
  <c r="U45" i="5"/>
  <c r="V45" i="5"/>
  <c r="W45" i="5"/>
  <c r="Y45" i="5"/>
  <c r="Z45" i="5" s="1"/>
  <c r="AA45" i="5" s="1"/>
  <c r="S46" i="5"/>
  <c r="T46" i="5"/>
  <c r="U46" i="5"/>
  <c r="V46" i="5"/>
  <c r="W46" i="5"/>
  <c r="Y46" i="5"/>
  <c r="Z46" i="5" s="1"/>
  <c r="AA46" i="5" s="1"/>
  <c r="S47" i="5"/>
  <c r="T47" i="5" s="1"/>
  <c r="U47" i="5"/>
  <c r="V47" i="5" s="1"/>
  <c r="W47" i="5" s="1"/>
  <c r="Y47" i="5"/>
  <c r="Z47" i="5" s="1"/>
  <c r="AA47" i="5" s="1"/>
  <c r="S48" i="5"/>
  <c r="T48" i="5"/>
  <c r="U48" i="5"/>
  <c r="V48" i="5"/>
  <c r="W48" i="5"/>
  <c r="Y48" i="5"/>
  <c r="Z48" i="5" s="1"/>
  <c r="AA48" i="5" s="1"/>
  <c r="S49" i="5"/>
  <c r="T49" i="5"/>
  <c r="U49" i="5"/>
  <c r="V49" i="5"/>
  <c r="W49" i="5"/>
  <c r="Y49" i="5"/>
  <c r="Z49" i="5"/>
  <c r="AA49" i="5" s="1"/>
  <c r="S50" i="5"/>
  <c r="T50" i="5" s="1"/>
  <c r="U50" i="5"/>
  <c r="V50" i="5" s="1"/>
  <c r="W50" i="5" s="1"/>
  <c r="Y50" i="5"/>
  <c r="Z50" i="5" s="1"/>
  <c r="AA50" i="5" s="1"/>
  <c r="I5" i="5"/>
  <c r="J5" i="5" s="1"/>
  <c r="K5" i="5"/>
  <c r="L5" i="5" s="1"/>
  <c r="M5" i="5" s="1"/>
  <c r="O5" i="5"/>
  <c r="P5" i="5" s="1"/>
  <c r="Q5" i="5" s="1"/>
  <c r="I6" i="5"/>
  <c r="J6" i="5" s="1"/>
  <c r="K6" i="5"/>
  <c r="L6" i="5"/>
  <c r="M6" i="5" s="1"/>
  <c r="O6" i="5"/>
  <c r="P6" i="5"/>
  <c r="Q6" i="5"/>
  <c r="I7" i="5"/>
  <c r="J7" i="5" s="1"/>
  <c r="K7" i="5"/>
  <c r="L7" i="5"/>
  <c r="M7" i="5"/>
  <c r="O7" i="5"/>
  <c r="P7" i="5"/>
  <c r="Q7" i="5"/>
  <c r="I8" i="5"/>
  <c r="J8" i="5" s="1"/>
  <c r="K8" i="5"/>
  <c r="L8" i="5" s="1"/>
  <c r="M8" i="5" s="1"/>
  <c r="O8" i="5"/>
  <c r="P8" i="5" s="1"/>
  <c r="Q8" i="5" s="1"/>
  <c r="I9" i="5"/>
  <c r="J9" i="5"/>
  <c r="K9" i="5"/>
  <c r="L9" i="5"/>
  <c r="M9" i="5" s="1"/>
  <c r="O9" i="5"/>
  <c r="P9" i="5" s="1"/>
  <c r="Q9" i="5" s="1"/>
  <c r="I10" i="5"/>
  <c r="J10" i="5" s="1"/>
  <c r="K10" i="5"/>
  <c r="L10" i="5"/>
  <c r="M10" i="5"/>
  <c r="O10" i="5"/>
  <c r="P10" i="5" s="1"/>
  <c r="Q10" i="5" s="1"/>
  <c r="I11" i="5"/>
  <c r="J11" i="5" s="1"/>
  <c r="K11" i="5"/>
  <c r="L11" i="5" s="1"/>
  <c r="M11" i="5" s="1"/>
  <c r="O11" i="5"/>
  <c r="P11" i="5" s="1"/>
  <c r="Q11" i="5" s="1"/>
  <c r="I12" i="5"/>
  <c r="J12" i="5"/>
  <c r="K12" i="5"/>
  <c r="L12" i="5" s="1"/>
  <c r="M12" i="5" s="1"/>
  <c r="O12" i="5"/>
  <c r="P12" i="5"/>
  <c r="Q12" i="5"/>
  <c r="I13" i="5"/>
  <c r="J13" i="5" s="1"/>
  <c r="K13" i="5"/>
  <c r="L13" i="5" s="1"/>
  <c r="M13" i="5" s="1"/>
  <c r="O13" i="5"/>
  <c r="P13" i="5" s="1"/>
  <c r="Q13" i="5" s="1"/>
  <c r="I14" i="5"/>
  <c r="J14" i="5" s="1"/>
  <c r="K14" i="5"/>
  <c r="L14" i="5" s="1"/>
  <c r="M14" i="5" s="1"/>
  <c r="O14" i="5"/>
  <c r="P14" i="5" s="1"/>
  <c r="Q14" i="5" s="1"/>
  <c r="I15" i="5"/>
  <c r="J15" i="5"/>
  <c r="K15" i="5"/>
  <c r="L15" i="5"/>
  <c r="M15" i="5"/>
  <c r="O15" i="5"/>
  <c r="P15" i="5"/>
  <c r="Q15" i="5"/>
  <c r="I16" i="5"/>
  <c r="J16" i="5" s="1"/>
  <c r="K16" i="5"/>
  <c r="L16" i="5"/>
  <c r="M16" i="5"/>
  <c r="O16" i="5"/>
  <c r="P16" i="5" s="1"/>
  <c r="Q16" i="5" s="1"/>
  <c r="I17" i="5"/>
  <c r="J17" i="5" s="1"/>
  <c r="K17" i="5"/>
  <c r="L17" i="5" s="1"/>
  <c r="M17" i="5" s="1"/>
  <c r="O17" i="5"/>
  <c r="P17" i="5" s="1"/>
  <c r="Q17" i="5" s="1"/>
  <c r="I18" i="5"/>
  <c r="J18" i="5"/>
  <c r="K18" i="5"/>
  <c r="L18" i="5"/>
  <c r="M18" i="5"/>
  <c r="O18" i="5"/>
  <c r="P18" i="5"/>
  <c r="Q18" i="5"/>
  <c r="I19" i="5"/>
  <c r="J19" i="5"/>
  <c r="K19" i="5"/>
  <c r="L19" i="5"/>
  <c r="M19" i="5"/>
  <c r="O19" i="5"/>
  <c r="P19" i="5" s="1"/>
  <c r="Q19" i="5" s="1"/>
  <c r="I20" i="5"/>
  <c r="J20" i="5" s="1"/>
  <c r="K20" i="5"/>
  <c r="L20" i="5" s="1"/>
  <c r="M20" i="5" s="1"/>
  <c r="O20" i="5"/>
  <c r="P20" i="5" s="1"/>
  <c r="Q20" i="5" s="1"/>
  <c r="I21" i="5"/>
  <c r="J21" i="5"/>
  <c r="K21" i="5"/>
  <c r="L21" i="5"/>
  <c r="M21" i="5"/>
  <c r="O21" i="5"/>
  <c r="P21" i="5"/>
  <c r="Q21" i="5"/>
  <c r="I22" i="5"/>
  <c r="J22" i="5"/>
  <c r="K22" i="5"/>
  <c r="L22" i="5"/>
  <c r="M22" i="5"/>
  <c r="O22" i="5"/>
  <c r="P22" i="5"/>
  <c r="Q22" i="5"/>
  <c r="I23" i="5"/>
  <c r="J23" i="5" s="1"/>
  <c r="K23" i="5"/>
  <c r="L23" i="5" s="1"/>
  <c r="M23" i="5" s="1"/>
  <c r="O23" i="5"/>
  <c r="P23" i="5" s="1"/>
  <c r="Q23" i="5" s="1"/>
  <c r="I24" i="5"/>
  <c r="J24" i="5" s="1"/>
  <c r="K24" i="5"/>
  <c r="L24" i="5"/>
  <c r="M24" i="5"/>
  <c r="O24" i="5"/>
  <c r="P24" i="5"/>
  <c r="Q24" i="5" s="1"/>
  <c r="I25" i="5"/>
  <c r="J25" i="5"/>
  <c r="K25" i="5"/>
  <c r="L25" i="5"/>
  <c r="M25" i="5"/>
  <c r="O25" i="5"/>
  <c r="P25" i="5"/>
  <c r="Q25" i="5" s="1"/>
  <c r="I26" i="5"/>
  <c r="J26" i="5" s="1"/>
  <c r="K26" i="5"/>
  <c r="L26" i="5" s="1"/>
  <c r="M26" i="5" s="1"/>
  <c r="O26" i="5"/>
  <c r="P26" i="5" s="1"/>
  <c r="Q26" i="5" s="1"/>
  <c r="I27" i="5"/>
  <c r="J27" i="5"/>
  <c r="K27" i="5"/>
  <c r="L27" i="5"/>
  <c r="M27" i="5" s="1"/>
  <c r="O27" i="5"/>
  <c r="P27" i="5" s="1"/>
  <c r="Q27" i="5" s="1"/>
  <c r="I28" i="5"/>
  <c r="J28" i="5"/>
  <c r="K28" i="5"/>
  <c r="L28" i="5"/>
  <c r="M28" i="5" s="1"/>
  <c r="O28" i="5"/>
  <c r="P28" i="5"/>
  <c r="Q28" i="5" s="1"/>
  <c r="I29" i="5"/>
  <c r="J29" i="5" s="1"/>
  <c r="K29" i="5"/>
  <c r="L29" i="5" s="1"/>
  <c r="M29" i="5" s="1"/>
  <c r="O29" i="5"/>
  <c r="P29" i="5" s="1"/>
  <c r="Q29" i="5" s="1"/>
  <c r="I30" i="5"/>
  <c r="J30" i="5" s="1"/>
  <c r="K30" i="5"/>
  <c r="L30" i="5"/>
  <c r="M30" i="5"/>
  <c r="O30" i="5"/>
  <c r="P30" i="5"/>
  <c r="Q30" i="5"/>
  <c r="I31" i="5"/>
  <c r="J31" i="5" s="1"/>
  <c r="K31" i="5"/>
  <c r="L31" i="5" s="1"/>
  <c r="M31" i="5" s="1"/>
  <c r="O31" i="5"/>
  <c r="P31" i="5"/>
  <c r="Q31" i="5" s="1"/>
  <c r="I32" i="5"/>
  <c r="J32" i="5" s="1"/>
  <c r="K32" i="5"/>
  <c r="L32" i="5" s="1"/>
  <c r="M32" i="5" s="1"/>
  <c r="O32" i="5"/>
  <c r="P32" i="5" s="1"/>
  <c r="Q32" i="5" s="1"/>
  <c r="I33" i="5"/>
  <c r="J33" i="5" s="1"/>
  <c r="K33" i="5"/>
  <c r="L33" i="5"/>
  <c r="M33" i="5"/>
  <c r="O33" i="5"/>
  <c r="P33" i="5" s="1"/>
  <c r="Q33" i="5" s="1"/>
  <c r="I34" i="5"/>
  <c r="J34" i="5"/>
  <c r="K34" i="5"/>
  <c r="L34" i="5"/>
  <c r="M34" i="5"/>
  <c r="O34" i="5"/>
  <c r="P34" i="5" s="1"/>
  <c r="Q34" i="5" s="1"/>
  <c r="I35" i="5"/>
  <c r="J35" i="5" s="1"/>
  <c r="K35" i="5"/>
  <c r="L35" i="5" s="1"/>
  <c r="M35" i="5" s="1"/>
  <c r="O35" i="5"/>
  <c r="P35" i="5" s="1"/>
  <c r="Q35" i="5" s="1"/>
  <c r="I36" i="5"/>
  <c r="J36" i="5" s="1"/>
  <c r="K36" i="5"/>
  <c r="L36" i="5" s="1"/>
  <c r="M36" i="5" s="1"/>
  <c r="O36" i="5"/>
  <c r="P36" i="5" s="1"/>
  <c r="Q36" i="5" s="1"/>
  <c r="I37" i="5"/>
  <c r="J37" i="5"/>
  <c r="K37" i="5"/>
  <c r="L37" i="5" s="1"/>
  <c r="M37" i="5" s="1"/>
  <c r="O37" i="5"/>
  <c r="P37" i="5"/>
  <c r="Q37" i="5"/>
  <c r="I38" i="5"/>
  <c r="J38" i="5" s="1"/>
  <c r="K38" i="5"/>
  <c r="L38" i="5" s="1"/>
  <c r="M38" i="5" s="1"/>
  <c r="O38" i="5"/>
  <c r="P38" i="5" s="1"/>
  <c r="Q38" i="5" s="1"/>
  <c r="I39" i="5"/>
  <c r="J39" i="5" s="1"/>
  <c r="K39" i="5"/>
  <c r="L39" i="5"/>
  <c r="M39" i="5"/>
  <c r="O39" i="5"/>
  <c r="P39" i="5" s="1"/>
  <c r="Q39" i="5" s="1"/>
  <c r="I40" i="5"/>
  <c r="J40" i="5"/>
  <c r="K40" i="5"/>
  <c r="L40" i="5" s="1"/>
  <c r="M40" i="5" s="1"/>
  <c r="O40" i="5"/>
  <c r="P40" i="5"/>
  <c r="Q40" i="5"/>
  <c r="I41" i="5"/>
  <c r="J41" i="5" s="1"/>
  <c r="K41" i="5"/>
  <c r="L41" i="5" s="1"/>
  <c r="M41" i="5" s="1"/>
  <c r="O41" i="5"/>
  <c r="P41" i="5" s="1"/>
  <c r="Q41" i="5" s="1"/>
  <c r="I42" i="5"/>
  <c r="J42" i="5"/>
  <c r="K42" i="5"/>
  <c r="L42" i="5"/>
  <c r="M42" i="5"/>
  <c r="O42" i="5"/>
  <c r="P42" i="5" s="1"/>
  <c r="Q42" i="5" s="1"/>
  <c r="I43" i="5"/>
  <c r="J43" i="5"/>
  <c r="K43" i="5"/>
  <c r="L43" i="5" s="1"/>
  <c r="M43" i="5" s="1"/>
  <c r="O43" i="5"/>
  <c r="P43" i="5"/>
  <c r="Q43" i="5"/>
  <c r="I44" i="5"/>
  <c r="J44" i="5" s="1"/>
  <c r="K44" i="5"/>
  <c r="L44" i="5" s="1"/>
  <c r="M44" i="5" s="1"/>
  <c r="O44" i="5"/>
  <c r="P44" i="5" s="1"/>
  <c r="Q44" i="5" s="1"/>
  <c r="I45" i="5"/>
  <c r="J45" i="5"/>
  <c r="K45" i="5"/>
  <c r="L45" i="5"/>
  <c r="M45" i="5"/>
  <c r="O45" i="5"/>
  <c r="P45" i="5"/>
  <c r="Q45" i="5"/>
  <c r="I46" i="5"/>
  <c r="J46" i="5"/>
  <c r="K46" i="5"/>
  <c r="L46" i="5" s="1"/>
  <c r="M46" i="5" s="1"/>
  <c r="O46" i="5"/>
  <c r="P46" i="5"/>
  <c r="Q46" i="5"/>
  <c r="I47" i="5"/>
  <c r="J47" i="5" s="1"/>
  <c r="K47" i="5"/>
  <c r="L47" i="5" s="1"/>
  <c r="M47" i="5" s="1"/>
  <c r="O47" i="5"/>
  <c r="P47" i="5" s="1"/>
  <c r="Q47" i="5" s="1"/>
  <c r="I48" i="5"/>
  <c r="J48" i="5"/>
  <c r="K48" i="5"/>
  <c r="L48" i="5"/>
  <c r="M48" i="5"/>
  <c r="O48" i="5"/>
  <c r="P48" i="5"/>
  <c r="Q48" i="5" s="1"/>
  <c r="I49" i="5"/>
  <c r="J49" i="5"/>
  <c r="K49" i="5"/>
  <c r="L49" i="5"/>
  <c r="M49" i="5"/>
  <c r="O49" i="5"/>
  <c r="P49" i="5"/>
  <c r="Q49" i="5" s="1"/>
  <c r="I50" i="5"/>
  <c r="J50" i="5" s="1"/>
  <c r="K50" i="5"/>
  <c r="L50" i="5" s="1"/>
  <c r="M50" i="5" s="1"/>
  <c r="O50" i="5"/>
  <c r="P50" i="5" s="1"/>
  <c r="Q50" i="5" s="1"/>
  <c r="T4" i="5"/>
  <c r="R13" i="6"/>
  <c r="R14" i="6"/>
  <c r="AI15" i="6"/>
  <c r="AJ15" i="6" s="1"/>
  <c r="AK15" i="6" s="1"/>
  <c r="AE15" i="6"/>
  <c r="AF15" i="6" s="1"/>
  <c r="AG15" i="6" s="1"/>
  <c r="AC15" i="6"/>
  <c r="AD15" i="6" s="1"/>
  <c r="W15" i="6"/>
  <c r="X15" i="6" s="1"/>
  <c r="R15" i="6"/>
  <c r="S15" i="6" s="1"/>
  <c r="T15" i="6" s="1"/>
  <c r="P15" i="6"/>
  <c r="Q15" i="6" s="1"/>
  <c r="AI49" i="6"/>
  <c r="AJ49" i="6" s="1"/>
  <c r="AK49" i="6" s="1"/>
  <c r="AE49" i="6"/>
  <c r="AF49" i="6" s="1"/>
  <c r="AG49" i="6" s="1"/>
  <c r="AC49" i="6"/>
  <c r="AD49" i="6" s="1"/>
  <c r="W49" i="6"/>
  <c r="X49" i="6" s="1"/>
  <c r="R49" i="6"/>
  <c r="S49" i="6" s="1"/>
  <c r="T49" i="6" s="1"/>
  <c r="P49" i="6"/>
  <c r="Q49" i="6" s="1"/>
  <c r="AI48" i="6"/>
  <c r="AJ48" i="6" s="1"/>
  <c r="AK48" i="6" s="1"/>
  <c r="AE48" i="6"/>
  <c r="AF48" i="6" s="1"/>
  <c r="AG48" i="6" s="1"/>
  <c r="AC48" i="6"/>
  <c r="AD48" i="6" s="1"/>
  <c r="W48" i="6"/>
  <c r="X48" i="6" s="1"/>
  <c r="R48" i="6"/>
  <c r="S48" i="6" s="1"/>
  <c r="T48" i="6" s="1"/>
  <c r="P48" i="6"/>
  <c r="Q48" i="6" s="1"/>
  <c r="AC18" i="6"/>
  <c r="AD18" i="6" s="1"/>
  <c r="AE18" i="6"/>
  <c r="AF18" i="6" s="1"/>
  <c r="AG18" i="6" s="1"/>
  <c r="AI18" i="6"/>
  <c r="AJ18" i="6" s="1"/>
  <c r="AK18" i="6" s="1"/>
  <c r="P18" i="6"/>
  <c r="Q18" i="6" s="1"/>
  <c r="R18" i="6"/>
  <c r="S18" i="6" s="1"/>
  <c r="T18" i="6" s="1"/>
  <c r="W18" i="6"/>
  <c r="X18" i="6" s="1"/>
  <c r="R30" i="6"/>
  <c r="J6" i="1" l="1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" i="2"/>
  <c r="J6" i="2"/>
  <c r="J7" i="2"/>
  <c r="J8" i="2"/>
  <c r="J9" i="2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47" i="2"/>
  <c r="Y46" i="2"/>
  <c r="Y45" i="2"/>
  <c r="Y44" i="2"/>
  <c r="Y43" i="2"/>
  <c r="Y42" i="2"/>
  <c r="Y41" i="2"/>
  <c r="Y40" i="2"/>
  <c r="Y39" i="2"/>
  <c r="Y38" i="2"/>
  <c r="Y37" i="2"/>
  <c r="Y36" i="2"/>
  <c r="Y35" i="2"/>
  <c r="Y34" i="2"/>
  <c r="Y33" i="2"/>
  <c r="Y32" i="2"/>
  <c r="Y31" i="2"/>
  <c r="Y30" i="2"/>
  <c r="Y29" i="2"/>
  <c r="Y28" i="2"/>
  <c r="Y27" i="2"/>
  <c r="Y26" i="2"/>
  <c r="Y25" i="2"/>
  <c r="Y24" i="2"/>
  <c r="Y23" i="2"/>
  <c r="Y22" i="2"/>
  <c r="Y21" i="2"/>
  <c r="Y20" i="2"/>
  <c r="Y19" i="2"/>
  <c r="Y17" i="2"/>
  <c r="Y16" i="2"/>
  <c r="Y15" i="2"/>
  <c r="Y14" i="2"/>
  <c r="Y13" i="2"/>
  <c r="Y12" i="2"/>
  <c r="Y11" i="2"/>
  <c r="Y10" i="2"/>
  <c r="Y9" i="2"/>
  <c r="Y8" i="2"/>
  <c r="Y7" i="2"/>
  <c r="Y6" i="2"/>
  <c r="Y5" i="2"/>
  <c r="Y4" i="2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7" i="1"/>
  <c r="U16" i="1"/>
  <c r="U15" i="1"/>
  <c r="U14" i="1"/>
  <c r="U13" i="1"/>
  <c r="U12" i="1"/>
  <c r="U11" i="1"/>
  <c r="U10" i="1"/>
  <c r="U9" i="1"/>
  <c r="U8" i="1"/>
  <c r="U7" i="1"/>
  <c r="U6" i="1"/>
  <c r="U5" i="1"/>
  <c r="U4" i="1"/>
  <c r="U47" i="2"/>
  <c r="U46" i="2"/>
  <c r="U45" i="2"/>
  <c r="U44" i="2"/>
  <c r="U43" i="2"/>
  <c r="U42" i="2"/>
  <c r="U41" i="2"/>
  <c r="U40" i="2"/>
  <c r="U39" i="2"/>
  <c r="U38" i="2"/>
  <c r="U37" i="2"/>
  <c r="U36" i="2"/>
  <c r="U35" i="2"/>
  <c r="U34" i="2"/>
  <c r="U33" i="2"/>
  <c r="U32" i="2"/>
  <c r="U31" i="2"/>
  <c r="U30" i="2"/>
  <c r="U29" i="2"/>
  <c r="U28" i="2"/>
  <c r="U27" i="2"/>
  <c r="U26" i="2"/>
  <c r="U25" i="2"/>
  <c r="U24" i="2"/>
  <c r="U23" i="2"/>
  <c r="U22" i="2"/>
  <c r="U21" i="2"/>
  <c r="U20" i="2"/>
  <c r="U19" i="2"/>
  <c r="U17" i="2"/>
  <c r="U16" i="2"/>
  <c r="U15" i="2"/>
  <c r="U14" i="2"/>
  <c r="U13" i="2"/>
  <c r="U12" i="2"/>
  <c r="U11" i="2"/>
  <c r="U10" i="2"/>
  <c r="U9" i="2"/>
  <c r="U8" i="2"/>
  <c r="U7" i="2"/>
  <c r="U6" i="2"/>
  <c r="U5" i="2"/>
  <c r="U4" i="2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7" i="2"/>
  <c r="O16" i="2"/>
  <c r="O15" i="2"/>
  <c r="O14" i="2"/>
  <c r="O13" i="2"/>
  <c r="O12" i="2"/>
  <c r="O11" i="2"/>
  <c r="O10" i="2"/>
  <c r="O9" i="2"/>
  <c r="O8" i="2"/>
  <c r="O7" i="2"/>
  <c r="O6" i="2"/>
  <c r="O5" i="2"/>
  <c r="O4" i="2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AI47" i="6"/>
  <c r="AI46" i="6"/>
  <c r="AI45" i="6"/>
  <c r="AI44" i="6"/>
  <c r="AI43" i="6"/>
  <c r="AI42" i="6"/>
  <c r="AI41" i="6"/>
  <c r="AI40" i="6"/>
  <c r="AI39" i="6"/>
  <c r="AI38" i="6"/>
  <c r="AI37" i="6"/>
  <c r="AI36" i="6"/>
  <c r="AI35" i="6"/>
  <c r="AI34" i="6"/>
  <c r="AI33" i="6"/>
  <c r="AI32" i="6"/>
  <c r="AI31" i="6"/>
  <c r="AI30" i="6"/>
  <c r="AI29" i="6"/>
  <c r="AI28" i="6"/>
  <c r="AI24" i="6"/>
  <c r="AI23" i="6"/>
  <c r="AI22" i="6"/>
  <c r="AI21" i="6"/>
  <c r="AI20" i="6"/>
  <c r="AI19" i="6"/>
  <c r="AI17" i="6"/>
  <c r="AI16" i="6"/>
  <c r="AI14" i="6"/>
  <c r="AI13" i="6"/>
  <c r="AI12" i="6"/>
  <c r="AI11" i="6"/>
  <c r="AI10" i="6"/>
  <c r="AI9" i="6"/>
  <c r="AI8" i="6"/>
  <c r="AI7" i="6"/>
  <c r="AI6" i="6"/>
  <c r="AI5" i="6"/>
  <c r="AI4" i="6"/>
  <c r="AE47" i="6"/>
  <c r="AE46" i="6"/>
  <c r="AE45" i="6"/>
  <c r="AE44" i="6"/>
  <c r="AE43" i="6"/>
  <c r="AE42" i="6"/>
  <c r="AE41" i="6"/>
  <c r="AE40" i="6"/>
  <c r="AE39" i="6"/>
  <c r="AE38" i="6"/>
  <c r="AE37" i="6"/>
  <c r="AE36" i="6"/>
  <c r="AE35" i="6"/>
  <c r="AE34" i="6"/>
  <c r="AE33" i="6"/>
  <c r="AE32" i="6"/>
  <c r="AE31" i="6"/>
  <c r="AE30" i="6"/>
  <c r="AE29" i="6"/>
  <c r="AE28" i="6"/>
  <c r="AE24" i="6"/>
  <c r="AE23" i="6"/>
  <c r="AE22" i="6"/>
  <c r="AE21" i="6"/>
  <c r="AE20" i="6"/>
  <c r="AE19" i="6"/>
  <c r="AE17" i="6"/>
  <c r="AE16" i="6"/>
  <c r="AE14" i="6"/>
  <c r="AE13" i="6"/>
  <c r="AE12" i="6"/>
  <c r="AE11" i="6"/>
  <c r="AE10" i="6"/>
  <c r="AE9" i="6"/>
  <c r="AE8" i="6"/>
  <c r="AE7" i="6"/>
  <c r="AE6" i="6"/>
  <c r="AE5" i="6"/>
  <c r="AE4" i="6"/>
  <c r="R5" i="6"/>
  <c r="R6" i="6"/>
  <c r="R7" i="6"/>
  <c r="R8" i="6"/>
  <c r="R9" i="6"/>
  <c r="R10" i="6"/>
  <c r="R11" i="6"/>
  <c r="R12" i="6"/>
  <c r="R16" i="6"/>
  <c r="R17" i="6"/>
  <c r="R19" i="6"/>
  <c r="R20" i="6"/>
  <c r="R21" i="6"/>
  <c r="R22" i="6"/>
  <c r="R23" i="6"/>
  <c r="R24" i="6"/>
  <c r="R28" i="6"/>
  <c r="R29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" i="6"/>
  <c r="K4" i="5"/>
  <c r="Y4" i="5"/>
  <c r="U4" i="5"/>
  <c r="O4" i="5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I6" i="1"/>
  <c r="I4" i="2"/>
  <c r="J4" i="2" s="1"/>
  <c r="I5" i="2"/>
  <c r="J5" i="2" s="1"/>
  <c r="I6" i="2"/>
  <c r="I7" i="2"/>
  <c r="I8" i="2"/>
  <c r="I9" i="2"/>
  <c r="I10" i="2"/>
  <c r="J10" i="2" s="1"/>
  <c r="I11" i="2"/>
  <c r="J11" i="2" s="1"/>
  <c r="I12" i="2"/>
  <c r="J12" i="2" s="1"/>
  <c r="I13" i="2"/>
  <c r="J13" i="2" s="1"/>
  <c r="I14" i="2"/>
  <c r="J14" i="2" s="1"/>
  <c r="I15" i="2"/>
  <c r="J15" i="2" s="1"/>
  <c r="I16" i="2"/>
  <c r="J16" i="2" s="1"/>
  <c r="I17" i="2"/>
  <c r="J17" i="2" s="1"/>
  <c r="I19" i="2"/>
  <c r="J19" i="2" s="1"/>
  <c r="I20" i="2"/>
  <c r="J20" i="2" s="1"/>
  <c r="I21" i="2"/>
  <c r="J21" i="2" s="1"/>
  <c r="I22" i="2"/>
  <c r="J22" i="2" s="1"/>
  <c r="I23" i="2"/>
  <c r="J23" i="2" s="1"/>
  <c r="I24" i="2"/>
  <c r="J24" i="2" s="1"/>
  <c r="I25" i="2"/>
  <c r="J25" i="2" s="1"/>
  <c r="I26" i="2"/>
  <c r="J26" i="2" s="1"/>
  <c r="I27" i="2"/>
  <c r="J27" i="2" s="1"/>
  <c r="I28" i="2"/>
  <c r="J28" i="2" s="1"/>
  <c r="I29" i="2"/>
  <c r="J29" i="2" s="1"/>
  <c r="I30" i="2"/>
  <c r="J30" i="2" s="1"/>
  <c r="I31" i="2"/>
  <c r="J31" i="2" s="1"/>
  <c r="I32" i="2"/>
  <c r="J32" i="2" s="1"/>
  <c r="I33" i="2"/>
  <c r="J33" i="2" s="1"/>
  <c r="I34" i="2"/>
  <c r="J34" i="2" s="1"/>
  <c r="I35" i="2"/>
  <c r="J35" i="2" s="1"/>
  <c r="I36" i="2"/>
  <c r="J36" i="2" s="1"/>
  <c r="I37" i="2"/>
  <c r="J37" i="2" s="1"/>
  <c r="I38" i="2"/>
  <c r="J38" i="2" s="1"/>
  <c r="I39" i="2"/>
  <c r="J39" i="2" s="1"/>
  <c r="I40" i="2"/>
  <c r="J40" i="2" s="1"/>
  <c r="I41" i="2"/>
  <c r="J41" i="2" s="1"/>
  <c r="I42" i="2"/>
  <c r="J42" i="2" s="1"/>
  <c r="I43" i="2"/>
  <c r="J43" i="2" s="1"/>
  <c r="I44" i="2"/>
  <c r="J44" i="2" s="1"/>
  <c r="I45" i="2"/>
  <c r="J45" i="2" s="1"/>
  <c r="I46" i="2"/>
  <c r="J46" i="2" s="1"/>
  <c r="I47" i="2"/>
  <c r="J47" i="2" s="1"/>
  <c r="AC47" i="6" l="1"/>
  <c r="AD47" i="6" s="1"/>
  <c r="AC46" i="6"/>
  <c r="AD46" i="6" s="1"/>
  <c r="AC45" i="6"/>
  <c r="AD45" i="6" s="1"/>
  <c r="AC44" i="6"/>
  <c r="AD44" i="6" s="1"/>
  <c r="AC43" i="6"/>
  <c r="AD43" i="6" s="1"/>
  <c r="AC42" i="6"/>
  <c r="AD42" i="6" s="1"/>
  <c r="AC41" i="6"/>
  <c r="AD41" i="6" s="1"/>
  <c r="AC40" i="6"/>
  <c r="AD40" i="6" s="1"/>
  <c r="AC39" i="6"/>
  <c r="AD39" i="6" s="1"/>
  <c r="AC38" i="6"/>
  <c r="AD38" i="6" s="1"/>
  <c r="AC37" i="6"/>
  <c r="AD37" i="6" s="1"/>
  <c r="AC36" i="6"/>
  <c r="AD36" i="6" s="1"/>
  <c r="AC35" i="6"/>
  <c r="AD35" i="6" s="1"/>
  <c r="AC34" i="6"/>
  <c r="AD34" i="6" s="1"/>
  <c r="AC33" i="6"/>
  <c r="AD33" i="6" s="1"/>
  <c r="AC32" i="6"/>
  <c r="AD32" i="6" s="1"/>
  <c r="AC31" i="6"/>
  <c r="AD31" i="6" s="1"/>
  <c r="AC30" i="6"/>
  <c r="AD30" i="6" s="1"/>
  <c r="AC29" i="6"/>
  <c r="AD29" i="6" s="1"/>
  <c r="AC28" i="6"/>
  <c r="AD28" i="6" s="1"/>
  <c r="AC24" i="6"/>
  <c r="AD24" i="6" s="1"/>
  <c r="AC23" i="6"/>
  <c r="AD23" i="6" s="1"/>
  <c r="AC22" i="6"/>
  <c r="AD22" i="6" s="1"/>
  <c r="AC21" i="6"/>
  <c r="AD21" i="6" s="1"/>
  <c r="AC20" i="6"/>
  <c r="AD20" i="6" s="1"/>
  <c r="AC19" i="6"/>
  <c r="AD19" i="6" s="1"/>
  <c r="AC17" i="6"/>
  <c r="AD17" i="6" s="1"/>
  <c r="AC16" i="6"/>
  <c r="AD16" i="6" s="1"/>
  <c r="AC14" i="6"/>
  <c r="AD14" i="6" s="1"/>
  <c r="AC13" i="6"/>
  <c r="AD13" i="6" s="1"/>
  <c r="AC12" i="6"/>
  <c r="AD12" i="6" s="1"/>
  <c r="AC11" i="6"/>
  <c r="AD11" i="6" s="1"/>
  <c r="AC10" i="6"/>
  <c r="AD10" i="6" s="1"/>
  <c r="AC9" i="6"/>
  <c r="AD9" i="6" s="1"/>
  <c r="AC8" i="6"/>
  <c r="AD8" i="6" s="1"/>
  <c r="AC7" i="6"/>
  <c r="AD7" i="6" s="1"/>
  <c r="AC6" i="6"/>
  <c r="AD6" i="6" s="1"/>
  <c r="AC5" i="6"/>
  <c r="AD5" i="6" s="1"/>
  <c r="AC4" i="6"/>
  <c r="AD4" i="6" s="1"/>
  <c r="P47" i="6"/>
  <c r="Q47" i="6" s="1"/>
  <c r="P46" i="6"/>
  <c r="Q46" i="6" s="1"/>
  <c r="P45" i="6"/>
  <c r="Q45" i="6" s="1"/>
  <c r="P44" i="6"/>
  <c r="Q44" i="6" s="1"/>
  <c r="P43" i="6"/>
  <c r="Q43" i="6" s="1"/>
  <c r="P42" i="6"/>
  <c r="Q42" i="6" s="1"/>
  <c r="P41" i="6"/>
  <c r="Q41" i="6" s="1"/>
  <c r="P40" i="6"/>
  <c r="Q40" i="6" s="1"/>
  <c r="P39" i="6"/>
  <c r="Q39" i="6" s="1"/>
  <c r="P38" i="6"/>
  <c r="Q38" i="6" s="1"/>
  <c r="P37" i="6"/>
  <c r="Q37" i="6" s="1"/>
  <c r="P36" i="6"/>
  <c r="Q36" i="6" s="1"/>
  <c r="P35" i="6"/>
  <c r="Q35" i="6" s="1"/>
  <c r="P34" i="6"/>
  <c r="Q34" i="6" s="1"/>
  <c r="P33" i="6"/>
  <c r="Q33" i="6" s="1"/>
  <c r="P32" i="6"/>
  <c r="Q32" i="6" s="1"/>
  <c r="P31" i="6"/>
  <c r="Q31" i="6" s="1"/>
  <c r="P30" i="6"/>
  <c r="Q30" i="6" s="1"/>
  <c r="P29" i="6"/>
  <c r="Q29" i="6" s="1"/>
  <c r="P28" i="6"/>
  <c r="Q28" i="6" s="1"/>
  <c r="P24" i="6"/>
  <c r="Q24" i="6" s="1"/>
  <c r="P23" i="6"/>
  <c r="Q23" i="6" s="1"/>
  <c r="P22" i="6"/>
  <c r="Q22" i="6" s="1"/>
  <c r="P21" i="6"/>
  <c r="Q21" i="6" s="1"/>
  <c r="P20" i="6"/>
  <c r="Q20" i="6" s="1"/>
  <c r="P19" i="6"/>
  <c r="Q19" i="6" s="1"/>
  <c r="P17" i="6"/>
  <c r="Q17" i="6" s="1"/>
  <c r="P16" i="6"/>
  <c r="Q16" i="6" s="1"/>
  <c r="P14" i="6"/>
  <c r="Q14" i="6" s="1"/>
  <c r="P13" i="6"/>
  <c r="Q13" i="6" s="1"/>
  <c r="P12" i="6"/>
  <c r="Q12" i="6" s="1"/>
  <c r="P11" i="6"/>
  <c r="Q11" i="6" s="1"/>
  <c r="P10" i="6"/>
  <c r="Q10" i="6" s="1"/>
  <c r="P9" i="6"/>
  <c r="Q9" i="6" s="1"/>
  <c r="P8" i="6"/>
  <c r="Q8" i="6" s="1"/>
  <c r="P7" i="6"/>
  <c r="Q7" i="6" s="1"/>
  <c r="P6" i="6"/>
  <c r="Q6" i="6" s="1"/>
  <c r="P5" i="6"/>
  <c r="Q5" i="6" s="1"/>
  <c r="P4" i="6"/>
  <c r="Q4" i="6" s="1"/>
  <c r="I47" i="1"/>
  <c r="J47" i="1" s="1"/>
  <c r="I46" i="1"/>
  <c r="I45" i="1"/>
  <c r="I44" i="1"/>
  <c r="J44" i="1" s="1"/>
  <c r="I43" i="1"/>
  <c r="J43" i="1" s="1"/>
  <c r="I42" i="1"/>
  <c r="I41" i="1"/>
  <c r="I40" i="1"/>
  <c r="J40" i="1" s="1"/>
  <c r="I39" i="1"/>
  <c r="J39" i="1" s="1"/>
  <c r="I38" i="1"/>
  <c r="J38" i="1" s="1"/>
  <c r="I37" i="1"/>
  <c r="J37" i="1" s="1"/>
  <c r="I36" i="1"/>
  <c r="J36" i="1" s="1"/>
  <c r="I35" i="1"/>
  <c r="J35" i="1" s="1"/>
  <c r="I34" i="1"/>
  <c r="J34" i="1" s="1"/>
  <c r="I33" i="1"/>
  <c r="J33" i="1" s="1"/>
  <c r="I32" i="1"/>
  <c r="J32" i="1" s="1"/>
  <c r="I31" i="1"/>
  <c r="I30" i="1"/>
  <c r="I29" i="1"/>
  <c r="I28" i="1"/>
  <c r="J28" i="1" s="1"/>
  <c r="I27" i="1"/>
  <c r="J27" i="1" s="1"/>
  <c r="I26" i="1"/>
  <c r="I25" i="1"/>
  <c r="J25" i="1" s="1"/>
  <c r="I24" i="1"/>
  <c r="I23" i="1"/>
  <c r="I22" i="1"/>
  <c r="I21" i="1"/>
  <c r="I20" i="1"/>
  <c r="I19" i="1"/>
  <c r="I17" i="1"/>
  <c r="J17" i="1" s="1"/>
  <c r="I16" i="1"/>
  <c r="J16" i="1" s="1"/>
  <c r="I15" i="1"/>
  <c r="J15" i="1" s="1"/>
  <c r="I14" i="1"/>
  <c r="J14" i="1" s="1"/>
  <c r="I13" i="1"/>
  <c r="J13" i="1" s="1"/>
  <c r="I12" i="1"/>
  <c r="J12" i="1" s="1"/>
  <c r="I11" i="1"/>
  <c r="J11" i="1" s="1"/>
  <c r="I10" i="1"/>
  <c r="J10" i="1" s="1"/>
  <c r="I9" i="1"/>
  <c r="J9" i="1" s="1"/>
  <c r="I8" i="1"/>
  <c r="J8" i="1" s="1"/>
  <c r="I7" i="1"/>
  <c r="J7" i="1" s="1"/>
  <c r="I5" i="1"/>
  <c r="J5" i="1" s="1"/>
  <c r="I4" i="1"/>
  <c r="J4" i="1" s="1"/>
  <c r="S4" i="5"/>
  <c r="I4" i="5"/>
  <c r="J4" i="5" s="1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7" i="2"/>
  <c r="S16" i="2"/>
  <c r="S15" i="2"/>
  <c r="S14" i="2"/>
  <c r="S13" i="2"/>
  <c r="S12" i="2"/>
  <c r="S11" i="2"/>
  <c r="S10" i="2"/>
  <c r="S9" i="2"/>
  <c r="S8" i="2"/>
  <c r="S7" i="2"/>
  <c r="S6" i="2"/>
  <c r="S5" i="2"/>
  <c r="S4" i="2"/>
  <c r="S47" i="1"/>
  <c r="T47" i="1" s="1"/>
  <c r="S46" i="1"/>
  <c r="T46" i="1" s="1"/>
  <c r="S45" i="1"/>
  <c r="T45" i="1" s="1"/>
  <c r="S44" i="1"/>
  <c r="T44" i="1" s="1"/>
  <c r="S43" i="1"/>
  <c r="T43" i="1" s="1"/>
  <c r="S42" i="1"/>
  <c r="T42" i="1" s="1"/>
  <c r="S41" i="1"/>
  <c r="T41" i="1" s="1"/>
  <c r="S40" i="1"/>
  <c r="T40" i="1" s="1"/>
  <c r="S39" i="1"/>
  <c r="T39" i="1" s="1"/>
  <c r="S38" i="1"/>
  <c r="T38" i="1" s="1"/>
  <c r="S37" i="1"/>
  <c r="T37" i="1" s="1"/>
  <c r="S36" i="1"/>
  <c r="T36" i="1" s="1"/>
  <c r="S35" i="1"/>
  <c r="T35" i="1" s="1"/>
  <c r="S34" i="1"/>
  <c r="T34" i="1" s="1"/>
  <c r="S33" i="1"/>
  <c r="T33" i="1" s="1"/>
  <c r="S32" i="1"/>
  <c r="T32" i="1" s="1"/>
  <c r="S31" i="1"/>
  <c r="T31" i="1" s="1"/>
  <c r="S30" i="1"/>
  <c r="T30" i="1" s="1"/>
  <c r="S29" i="1"/>
  <c r="T29" i="1" s="1"/>
  <c r="S28" i="1"/>
  <c r="T28" i="1" s="1"/>
  <c r="S27" i="1"/>
  <c r="T27" i="1" s="1"/>
  <c r="S26" i="1"/>
  <c r="T26" i="1" s="1"/>
  <c r="S25" i="1"/>
  <c r="T25" i="1" s="1"/>
  <c r="S24" i="1"/>
  <c r="T24" i="1" s="1"/>
  <c r="S23" i="1"/>
  <c r="T23" i="1" s="1"/>
  <c r="S22" i="1"/>
  <c r="T22" i="1" s="1"/>
  <c r="S21" i="1"/>
  <c r="T21" i="1" s="1"/>
  <c r="S20" i="1"/>
  <c r="T20" i="1" s="1"/>
  <c r="S19" i="1"/>
  <c r="T19" i="1" s="1"/>
  <c r="S17" i="1"/>
  <c r="T17" i="1" s="1"/>
  <c r="S16" i="1"/>
  <c r="T16" i="1" s="1"/>
  <c r="S15" i="1"/>
  <c r="T15" i="1" s="1"/>
  <c r="S14" i="1"/>
  <c r="T14" i="1" s="1"/>
  <c r="S13" i="1"/>
  <c r="T13" i="1" s="1"/>
  <c r="S12" i="1"/>
  <c r="T12" i="1" s="1"/>
  <c r="S11" i="1"/>
  <c r="T11" i="1" s="1"/>
  <c r="S10" i="1"/>
  <c r="T10" i="1" s="1"/>
  <c r="S9" i="1"/>
  <c r="T9" i="1" s="1"/>
  <c r="S8" i="1"/>
  <c r="T8" i="1" s="1"/>
  <c r="S7" i="1"/>
  <c r="T7" i="1" s="1"/>
  <c r="S6" i="1"/>
  <c r="T6" i="1" s="1"/>
  <c r="S5" i="1"/>
  <c r="T5" i="1" s="1"/>
  <c r="S4" i="1"/>
  <c r="T4" i="1" s="1"/>
  <c r="AJ47" i="6"/>
  <c r="AK47" i="6" s="1"/>
  <c r="AF47" i="6"/>
  <c r="AG47" i="6" s="1"/>
  <c r="W47" i="6"/>
  <c r="X47" i="6" s="1"/>
  <c r="S47" i="6"/>
  <c r="T47" i="6" s="1"/>
  <c r="AJ46" i="6"/>
  <c r="AK46" i="6" s="1"/>
  <c r="AF46" i="6"/>
  <c r="AG46" i="6" s="1"/>
  <c r="W46" i="6"/>
  <c r="X46" i="6" s="1"/>
  <c r="S46" i="6"/>
  <c r="T46" i="6" s="1"/>
  <c r="AJ45" i="6"/>
  <c r="AK45" i="6" s="1"/>
  <c r="AF45" i="6"/>
  <c r="AG45" i="6" s="1"/>
  <c r="W45" i="6"/>
  <c r="X45" i="6" s="1"/>
  <c r="S45" i="6"/>
  <c r="T45" i="6" s="1"/>
  <c r="AJ44" i="6"/>
  <c r="AK44" i="6" s="1"/>
  <c r="AF44" i="6"/>
  <c r="AG44" i="6" s="1"/>
  <c r="W44" i="6"/>
  <c r="X44" i="6" s="1"/>
  <c r="S44" i="6"/>
  <c r="T44" i="6" s="1"/>
  <c r="AJ43" i="6"/>
  <c r="AK43" i="6" s="1"/>
  <c r="AF43" i="6"/>
  <c r="AG43" i="6" s="1"/>
  <c r="W43" i="6"/>
  <c r="X43" i="6" s="1"/>
  <c r="S43" i="6"/>
  <c r="T43" i="6" s="1"/>
  <c r="AJ42" i="6"/>
  <c r="AK42" i="6" s="1"/>
  <c r="AF42" i="6"/>
  <c r="AG42" i="6" s="1"/>
  <c r="W42" i="6"/>
  <c r="X42" i="6" s="1"/>
  <c r="S42" i="6"/>
  <c r="T42" i="6" s="1"/>
  <c r="AJ41" i="6"/>
  <c r="AK41" i="6" s="1"/>
  <c r="AF41" i="6"/>
  <c r="AG41" i="6" s="1"/>
  <c r="W41" i="6"/>
  <c r="X41" i="6" s="1"/>
  <c r="S41" i="6"/>
  <c r="T41" i="6" s="1"/>
  <c r="AJ40" i="6"/>
  <c r="AK40" i="6" s="1"/>
  <c r="AF40" i="6"/>
  <c r="AG40" i="6" s="1"/>
  <c r="W40" i="6"/>
  <c r="X40" i="6" s="1"/>
  <c r="S40" i="6"/>
  <c r="T40" i="6" s="1"/>
  <c r="AJ39" i="6"/>
  <c r="AK39" i="6" s="1"/>
  <c r="AF39" i="6"/>
  <c r="AG39" i="6" s="1"/>
  <c r="W39" i="6"/>
  <c r="X39" i="6" s="1"/>
  <c r="S39" i="6"/>
  <c r="T39" i="6" s="1"/>
  <c r="AJ38" i="6"/>
  <c r="AK38" i="6" s="1"/>
  <c r="AF38" i="6"/>
  <c r="AG38" i="6" s="1"/>
  <c r="W38" i="6"/>
  <c r="X38" i="6" s="1"/>
  <c r="S38" i="6"/>
  <c r="T38" i="6" s="1"/>
  <c r="AJ37" i="6"/>
  <c r="AK37" i="6" s="1"/>
  <c r="AF37" i="6"/>
  <c r="AG37" i="6" s="1"/>
  <c r="W37" i="6"/>
  <c r="X37" i="6" s="1"/>
  <c r="S37" i="6"/>
  <c r="T37" i="6" s="1"/>
  <c r="AJ36" i="6"/>
  <c r="AK36" i="6" s="1"/>
  <c r="AF36" i="6"/>
  <c r="AG36" i="6" s="1"/>
  <c r="W36" i="6"/>
  <c r="X36" i="6" s="1"/>
  <c r="S36" i="6"/>
  <c r="T36" i="6" s="1"/>
  <c r="AJ35" i="6"/>
  <c r="AK35" i="6" s="1"/>
  <c r="AF35" i="6"/>
  <c r="AG35" i="6" s="1"/>
  <c r="W35" i="6"/>
  <c r="X35" i="6" s="1"/>
  <c r="S35" i="6"/>
  <c r="T35" i="6" s="1"/>
  <c r="AJ34" i="6"/>
  <c r="AK34" i="6" s="1"/>
  <c r="AF34" i="6"/>
  <c r="AG34" i="6" s="1"/>
  <c r="W34" i="6"/>
  <c r="X34" i="6" s="1"/>
  <c r="S34" i="6"/>
  <c r="T34" i="6" s="1"/>
  <c r="AJ33" i="6"/>
  <c r="AK33" i="6" s="1"/>
  <c r="AF33" i="6"/>
  <c r="AG33" i="6" s="1"/>
  <c r="W33" i="6"/>
  <c r="X33" i="6" s="1"/>
  <c r="S33" i="6"/>
  <c r="T33" i="6" s="1"/>
  <c r="AJ32" i="6"/>
  <c r="AK32" i="6" s="1"/>
  <c r="AF32" i="6"/>
  <c r="AG32" i="6" s="1"/>
  <c r="W32" i="6"/>
  <c r="X32" i="6" s="1"/>
  <c r="S32" i="6"/>
  <c r="T32" i="6" s="1"/>
  <c r="AJ31" i="6"/>
  <c r="AK31" i="6" s="1"/>
  <c r="AF31" i="6"/>
  <c r="AG31" i="6" s="1"/>
  <c r="W31" i="6"/>
  <c r="X31" i="6" s="1"/>
  <c r="S31" i="6"/>
  <c r="T31" i="6" s="1"/>
  <c r="AJ30" i="6"/>
  <c r="AK30" i="6" s="1"/>
  <c r="AF30" i="6"/>
  <c r="AG30" i="6" s="1"/>
  <c r="W30" i="6"/>
  <c r="X30" i="6" s="1"/>
  <c r="S30" i="6"/>
  <c r="T30" i="6" s="1"/>
  <c r="AJ29" i="6"/>
  <c r="AK29" i="6" s="1"/>
  <c r="AF29" i="6"/>
  <c r="AG29" i="6" s="1"/>
  <c r="W29" i="6"/>
  <c r="X29" i="6" s="1"/>
  <c r="S29" i="6"/>
  <c r="T29" i="6" s="1"/>
  <c r="AJ28" i="6"/>
  <c r="AK28" i="6" s="1"/>
  <c r="AF28" i="6"/>
  <c r="AG28" i="6" s="1"/>
  <c r="W28" i="6"/>
  <c r="X28" i="6" s="1"/>
  <c r="S28" i="6"/>
  <c r="T28" i="6" s="1"/>
  <c r="AJ24" i="6"/>
  <c r="AK24" i="6" s="1"/>
  <c r="AF24" i="6"/>
  <c r="AG24" i="6" s="1"/>
  <c r="W24" i="6"/>
  <c r="X24" i="6" s="1"/>
  <c r="S24" i="6"/>
  <c r="T24" i="6" s="1"/>
  <c r="AJ23" i="6"/>
  <c r="AK23" i="6" s="1"/>
  <c r="AF23" i="6"/>
  <c r="AG23" i="6" s="1"/>
  <c r="W23" i="6"/>
  <c r="X23" i="6" s="1"/>
  <c r="S23" i="6"/>
  <c r="T23" i="6" s="1"/>
  <c r="AJ22" i="6"/>
  <c r="AK22" i="6" s="1"/>
  <c r="AF22" i="6"/>
  <c r="AG22" i="6" s="1"/>
  <c r="W22" i="6"/>
  <c r="X22" i="6" s="1"/>
  <c r="S22" i="6"/>
  <c r="T22" i="6" s="1"/>
  <c r="AJ21" i="6"/>
  <c r="AK21" i="6" s="1"/>
  <c r="AF21" i="6"/>
  <c r="AG21" i="6" s="1"/>
  <c r="W21" i="6"/>
  <c r="X21" i="6" s="1"/>
  <c r="S21" i="6"/>
  <c r="T21" i="6" s="1"/>
  <c r="AJ20" i="6"/>
  <c r="AK20" i="6" s="1"/>
  <c r="AF20" i="6"/>
  <c r="AG20" i="6" s="1"/>
  <c r="W20" i="6"/>
  <c r="X20" i="6" s="1"/>
  <c r="S20" i="6"/>
  <c r="T20" i="6" s="1"/>
  <c r="AJ19" i="6"/>
  <c r="AK19" i="6" s="1"/>
  <c r="AF19" i="6"/>
  <c r="AG19" i="6" s="1"/>
  <c r="W19" i="6"/>
  <c r="X19" i="6" s="1"/>
  <c r="S19" i="6"/>
  <c r="T19" i="6" s="1"/>
  <c r="AJ17" i="6"/>
  <c r="AK17" i="6" s="1"/>
  <c r="AF17" i="6"/>
  <c r="AG17" i="6" s="1"/>
  <c r="W17" i="6"/>
  <c r="X17" i="6" s="1"/>
  <c r="S17" i="6"/>
  <c r="T17" i="6" s="1"/>
  <c r="AJ16" i="6"/>
  <c r="AK16" i="6" s="1"/>
  <c r="AF16" i="6"/>
  <c r="AG16" i="6" s="1"/>
  <c r="W16" i="6"/>
  <c r="X16" i="6" s="1"/>
  <c r="S16" i="6"/>
  <c r="T16" i="6" s="1"/>
  <c r="AJ14" i="6"/>
  <c r="AK14" i="6" s="1"/>
  <c r="AF14" i="6"/>
  <c r="AG14" i="6" s="1"/>
  <c r="W14" i="6"/>
  <c r="X14" i="6" s="1"/>
  <c r="S14" i="6"/>
  <c r="T14" i="6" s="1"/>
  <c r="AJ13" i="6"/>
  <c r="AK13" i="6" s="1"/>
  <c r="AF13" i="6"/>
  <c r="AG13" i="6" s="1"/>
  <c r="W13" i="6"/>
  <c r="X13" i="6" s="1"/>
  <c r="S13" i="6"/>
  <c r="T13" i="6" s="1"/>
  <c r="AJ12" i="6"/>
  <c r="AK12" i="6" s="1"/>
  <c r="AF12" i="6"/>
  <c r="AG12" i="6" s="1"/>
  <c r="W12" i="6"/>
  <c r="X12" i="6" s="1"/>
  <c r="S12" i="6"/>
  <c r="T12" i="6" s="1"/>
  <c r="AJ11" i="6"/>
  <c r="AK11" i="6" s="1"/>
  <c r="AF11" i="6"/>
  <c r="AG11" i="6" s="1"/>
  <c r="W11" i="6"/>
  <c r="X11" i="6" s="1"/>
  <c r="S11" i="6"/>
  <c r="T11" i="6" s="1"/>
  <c r="AJ10" i="6"/>
  <c r="AK10" i="6" s="1"/>
  <c r="AF10" i="6"/>
  <c r="AG10" i="6" s="1"/>
  <c r="W10" i="6"/>
  <c r="X10" i="6" s="1"/>
  <c r="S10" i="6"/>
  <c r="T10" i="6" s="1"/>
  <c r="AJ9" i="6"/>
  <c r="AK9" i="6" s="1"/>
  <c r="AF9" i="6"/>
  <c r="AG9" i="6" s="1"/>
  <c r="W9" i="6"/>
  <c r="X9" i="6" s="1"/>
  <c r="S9" i="6"/>
  <c r="T9" i="6" s="1"/>
  <c r="AJ8" i="6"/>
  <c r="AK8" i="6" s="1"/>
  <c r="AF8" i="6"/>
  <c r="AG8" i="6" s="1"/>
  <c r="W8" i="6"/>
  <c r="X8" i="6" s="1"/>
  <c r="S8" i="6"/>
  <c r="T8" i="6" s="1"/>
  <c r="AJ7" i="6"/>
  <c r="AK7" i="6" s="1"/>
  <c r="AF7" i="6"/>
  <c r="AG7" i="6" s="1"/>
  <c r="W7" i="6"/>
  <c r="X7" i="6" s="1"/>
  <c r="S7" i="6"/>
  <c r="T7" i="6" s="1"/>
  <c r="AJ6" i="6"/>
  <c r="AK6" i="6" s="1"/>
  <c r="AF6" i="6"/>
  <c r="AG6" i="6" s="1"/>
  <c r="W6" i="6"/>
  <c r="X6" i="6" s="1"/>
  <c r="S6" i="6"/>
  <c r="T6" i="6" s="1"/>
  <c r="AJ5" i="6"/>
  <c r="AK5" i="6" s="1"/>
  <c r="AF5" i="6"/>
  <c r="AG5" i="6" s="1"/>
  <c r="W5" i="6"/>
  <c r="X5" i="6" s="1"/>
  <c r="S5" i="6"/>
  <c r="T5" i="6" s="1"/>
  <c r="AJ4" i="6"/>
  <c r="AK4" i="6" s="1"/>
  <c r="AF4" i="6"/>
  <c r="AG4" i="6" s="1"/>
  <c r="W4" i="6"/>
  <c r="X4" i="6" s="1"/>
  <c r="S4" i="6"/>
  <c r="T4" i="6" s="1"/>
  <c r="Z4" i="5"/>
  <c r="AA4" i="5" s="1"/>
  <c r="V4" i="5"/>
  <c r="W4" i="5" s="1"/>
  <c r="P4" i="5"/>
  <c r="Q4" i="5" s="1"/>
  <c r="L4" i="5"/>
  <c r="M4" i="5" s="1"/>
  <c r="Q9" i="2"/>
  <c r="Q10" i="2"/>
  <c r="Q16" i="2"/>
  <c r="Q22" i="2"/>
  <c r="Q28" i="2"/>
  <c r="Q47" i="2"/>
  <c r="Z47" i="2"/>
  <c r="AA47" i="2" s="1"/>
  <c r="V47" i="2"/>
  <c r="W47" i="2" s="1"/>
  <c r="P47" i="2"/>
  <c r="Z46" i="2"/>
  <c r="AA46" i="2" s="1"/>
  <c r="V46" i="2"/>
  <c r="W46" i="2" s="1"/>
  <c r="P46" i="2"/>
  <c r="Z45" i="2"/>
  <c r="AA45" i="2" s="1"/>
  <c r="V45" i="2"/>
  <c r="W45" i="2" s="1"/>
  <c r="Q45" i="2"/>
  <c r="Z44" i="2"/>
  <c r="AA44" i="2" s="1"/>
  <c r="V44" i="2"/>
  <c r="W44" i="2" s="1"/>
  <c r="P44" i="2"/>
  <c r="Z43" i="2"/>
  <c r="AA43" i="2" s="1"/>
  <c r="V43" i="2"/>
  <c r="W43" i="2" s="1"/>
  <c r="P43" i="2"/>
  <c r="Z42" i="2"/>
  <c r="AA42" i="2" s="1"/>
  <c r="V42" i="2"/>
  <c r="W42" i="2" s="1"/>
  <c r="P42" i="2"/>
  <c r="Z41" i="2"/>
  <c r="AA41" i="2" s="1"/>
  <c r="V41" i="2"/>
  <c r="W41" i="2" s="1"/>
  <c r="P41" i="2"/>
  <c r="Z40" i="2"/>
  <c r="AA40" i="2" s="1"/>
  <c r="V40" i="2"/>
  <c r="W40" i="2" s="1"/>
  <c r="P40" i="2"/>
  <c r="L40" i="2"/>
  <c r="M40" i="2" s="1"/>
  <c r="Z39" i="2"/>
  <c r="AA39" i="2" s="1"/>
  <c r="V39" i="2"/>
  <c r="W39" i="2" s="1"/>
  <c r="Q39" i="2"/>
  <c r="Z38" i="2"/>
  <c r="AA38" i="2" s="1"/>
  <c r="V38" i="2"/>
  <c r="W38" i="2" s="1"/>
  <c r="P38" i="2"/>
  <c r="L38" i="2"/>
  <c r="M38" i="2" s="1"/>
  <c r="Z37" i="2"/>
  <c r="AA37" i="2" s="1"/>
  <c r="V37" i="2"/>
  <c r="W37" i="2" s="1"/>
  <c r="Q37" i="2"/>
  <c r="L37" i="2"/>
  <c r="M37" i="2" s="1"/>
  <c r="Z36" i="2"/>
  <c r="AA36" i="2" s="1"/>
  <c r="V36" i="2"/>
  <c r="W36" i="2" s="1"/>
  <c r="P36" i="2"/>
  <c r="L36" i="2"/>
  <c r="M36" i="2" s="1"/>
  <c r="Z35" i="2"/>
  <c r="AA35" i="2" s="1"/>
  <c r="V35" i="2"/>
  <c r="W35" i="2" s="1"/>
  <c r="P35" i="2"/>
  <c r="L35" i="2"/>
  <c r="M35" i="2" s="1"/>
  <c r="Z34" i="2"/>
  <c r="AA34" i="2" s="1"/>
  <c r="V34" i="2"/>
  <c r="W34" i="2" s="1"/>
  <c r="P34" i="2"/>
  <c r="L34" i="2"/>
  <c r="M34" i="2" s="1"/>
  <c r="Z33" i="2"/>
  <c r="AA33" i="2" s="1"/>
  <c r="V33" i="2"/>
  <c r="W33" i="2" s="1"/>
  <c r="P33" i="2"/>
  <c r="L33" i="2"/>
  <c r="M33" i="2" s="1"/>
  <c r="Z32" i="2"/>
  <c r="AA32" i="2" s="1"/>
  <c r="V32" i="2"/>
  <c r="W32" i="2" s="1"/>
  <c r="P32" i="2"/>
  <c r="L32" i="2"/>
  <c r="M32" i="2" s="1"/>
  <c r="Z31" i="2"/>
  <c r="AA31" i="2" s="1"/>
  <c r="V31" i="2"/>
  <c r="W31" i="2" s="1"/>
  <c r="P31" i="2"/>
  <c r="L31" i="2"/>
  <c r="M31" i="2" s="1"/>
  <c r="Z30" i="2"/>
  <c r="AA30" i="2" s="1"/>
  <c r="V30" i="2"/>
  <c r="W30" i="2" s="1"/>
  <c r="P30" i="2"/>
  <c r="L30" i="2"/>
  <c r="M30" i="2" s="1"/>
  <c r="Z29" i="2"/>
  <c r="AA29" i="2" s="1"/>
  <c r="V29" i="2"/>
  <c r="W29" i="2" s="1"/>
  <c r="Q29" i="2"/>
  <c r="L29" i="2"/>
  <c r="M29" i="2" s="1"/>
  <c r="Z28" i="2"/>
  <c r="AA28" i="2" s="1"/>
  <c r="V28" i="2"/>
  <c r="W28" i="2" s="1"/>
  <c r="P28" i="2"/>
  <c r="L28" i="2"/>
  <c r="M28" i="2" s="1"/>
  <c r="Z27" i="2"/>
  <c r="AA27" i="2" s="1"/>
  <c r="V27" i="2"/>
  <c r="W27" i="2" s="1"/>
  <c r="P27" i="2"/>
  <c r="Z26" i="2"/>
  <c r="AA26" i="2" s="1"/>
  <c r="V26" i="2"/>
  <c r="W26" i="2" s="1"/>
  <c r="P26" i="2"/>
  <c r="Z25" i="2"/>
  <c r="AA25" i="2" s="1"/>
  <c r="V25" i="2"/>
  <c r="W25" i="2" s="1"/>
  <c r="Q25" i="2"/>
  <c r="L25" i="2"/>
  <c r="M25" i="2" s="1"/>
  <c r="Z24" i="2"/>
  <c r="AA24" i="2" s="1"/>
  <c r="V24" i="2"/>
  <c r="W24" i="2" s="1"/>
  <c r="P24" i="2"/>
  <c r="Z23" i="2"/>
  <c r="AA23" i="2" s="1"/>
  <c r="V23" i="2"/>
  <c r="W23" i="2" s="1"/>
  <c r="P23" i="2"/>
  <c r="L23" i="2"/>
  <c r="M23" i="2" s="1"/>
  <c r="Z22" i="2"/>
  <c r="AA22" i="2" s="1"/>
  <c r="V22" i="2"/>
  <c r="W22" i="2" s="1"/>
  <c r="P22" i="2"/>
  <c r="Z21" i="2"/>
  <c r="AA21" i="2" s="1"/>
  <c r="V21" i="2"/>
  <c r="W21" i="2" s="1"/>
  <c r="P21" i="2"/>
  <c r="L21" i="2"/>
  <c r="M21" i="2" s="1"/>
  <c r="Z20" i="2"/>
  <c r="AA20" i="2" s="1"/>
  <c r="V20" i="2"/>
  <c r="W20" i="2" s="1"/>
  <c r="P20" i="2"/>
  <c r="Z19" i="2"/>
  <c r="AA19" i="2" s="1"/>
  <c r="V19" i="2"/>
  <c r="W19" i="2" s="1"/>
  <c r="Q19" i="2"/>
  <c r="Z17" i="2"/>
  <c r="AA17" i="2" s="1"/>
  <c r="V17" i="2"/>
  <c r="W17" i="2" s="1"/>
  <c r="P17" i="2"/>
  <c r="Z16" i="2"/>
  <c r="AA16" i="2" s="1"/>
  <c r="V16" i="2"/>
  <c r="W16" i="2" s="1"/>
  <c r="P16" i="2"/>
  <c r="L16" i="2"/>
  <c r="M16" i="2" s="1"/>
  <c r="Z15" i="2"/>
  <c r="AA15" i="2" s="1"/>
  <c r="V15" i="2"/>
  <c r="W15" i="2" s="1"/>
  <c r="P15" i="2"/>
  <c r="L15" i="2"/>
  <c r="M15" i="2" s="1"/>
  <c r="Z14" i="2"/>
  <c r="AA14" i="2" s="1"/>
  <c r="V14" i="2"/>
  <c r="W14" i="2" s="1"/>
  <c r="Q14" i="2"/>
  <c r="L14" i="2"/>
  <c r="M14" i="2" s="1"/>
  <c r="Z13" i="2"/>
  <c r="AA13" i="2" s="1"/>
  <c r="V13" i="2"/>
  <c r="W13" i="2" s="1"/>
  <c r="P13" i="2"/>
  <c r="L13" i="2"/>
  <c r="M13" i="2" s="1"/>
  <c r="Z12" i="2"/>
  <c r="AA12" i="2" s="1"/>
  <c r="V12" i="2"/>
  <c r="W12" i="2" s="1"/>
  <c r="Q12" i="2"/>
  <c r="L12" i="2"/>
  <c r="M12" i="2" s="1"/>
  <c r="Z11" i="2"/>
  <c r="AA11" i="2" s="1"/>
  <c r="V11" i="2"/>
  <c r="W11" i="2" s="1"/>
  <c r="P11" i="2"/>
  <c r="L11" i="2"/>
  <c r="M11" i="2" s="1"/>
  <c r="Z10" i="2"/>
  <c r="AA10" i="2" s="1"/>
  <c r="V10" i="2"/>
  <c r="W10" i="2" s="1"/>
  <c r="P10" i="2"/>
  <c r="L10" i="2"/>
  <c r="M10" i="2" s="1"/>
  <c r="Z9" i="2"/>
  <c r="AA9" i="2" s="1"/>
  <c r="V9" i="2"/>
  <c r="W9" i="2" s="1"/>
  <c r="P9" i="2"/>
  <c r="L9" i="2"/>
  <c r="M9" i="2" s="1"/>
  <c r="Z8" i="2"/>
  <c r="AA8" i="2" s="1"/>
  <c r="V8" i="2"/>
  <c r="W8" i="2" s="1"/>
  <c r="P8" i="2"/>
  <c r="L8" i="2"/>
  <c r="M8" i="2" s="1"/>
  <c r="Z7" i="2"/>
  <c r="AA7" i="2" s="1"/>
  <c r="V7" i="2"/>
  <c r="W7" i="2" s="1"/>
  <c r="P7" i="2"/>
  <c r="L7" i="2"/>
  <c r="M7" i="2" s="1"/>
  <c r="Z6" i="2"/>
  <c r="AA6" i="2" s="1"/>
  <c r="V6" i="2"/>
  <c r="W6" i="2" s="1"/>
  <c r="P6" i="2"/>
  <c r="L6" i="2"/>
  <c r="M6" i="2" s="1"/>
  <c r="Z5" i="2"/>
  <c r="AA5" i="2" s="1"/>
  <c r="V5" i="2"/>
  <c r="W5" i="2" s="1"/>
  <c r="P5" i="2"/>
  <c r="L5" i="2"/>
  <c r="M5" i="2" s="1"/>
  <c r="Z4" i="2"/>
  <c r="AA4" i="2" s="1"/>
  <c r="V4" i="2"/>
  <c r="W4" i="2" s="1"/>
  <c r="P4" i="2"/>
  <c r="Q7" i="2" l="1"/>
  <c r="Q5" i="2"/>
  <c r="Q26" i="2"/>
  <c r="L4" i="2"/>
  <c r="M4" i="2" s="1"/>
  <c r="L43" i="2"/>
  <c r="M43" i="2" s="1"/>
  <c r="L42" i="2"/>
  <c r="M42" i="2" s="1"/>
  <c r="L26" i="2"/>
  <c r="M26" i="2" s="1"/>
  <c r="L41" i="2"/>
  <c r="M41" i="2" s="1"/>
  <c r="L46" i="2"/>
  <c r="M46" i="2" s="1"/>
  <c r="L39" i="2"/>
  <c r="M39" i="2" s="1"/>
  <c r="Q8" i="2"/>
  <c r="Q43" i="2"/>
  <c r="Q44" i="2"/>
  <c r="Q42" i="2"/>
  <c r="Q35" i="2"/>
  <c r="L22" i="2"/>
  <c r="M22" i="2" s="1"/>
  <c r="Q34" i="2"/>
  <c r="L27" i="2"/>
  <c r="M27" i="2" s="1"/>
  <c r="Q33" i="2"/>
  <c r="L19" i="2"/>
  <c r="M19" i="2" s="1"/>
  <c r="Q32" i="2"/>
  <c r="Q46" i="2"/>
  <c r="Q31" i="2"/>
  <c r="Q30" i="2"/>
  <c r="P12" i="2"/>
  <c r="P29" i="2"/>
  <c r="P45" i="2"/>
  <c r="Q6" i="2"/>
  <c r="L24" i="2"/>
  <c r="M24" i="2" s="1"/>
  <c r="L47" i="2"/>
  <c r="M47" i="2" s="1"/>
  <c r="P19" i="2"/>
  <c r="L45" i="2"/>
  <c r="M45" i="2" s="1"/>
  <c r="Q27" i="2"/>
  <c r="L44" i="2"/>
  <c r="M44" i="2" s="1"/>
  <c r="L20" i="2"/>
  <c r="M20" i="2" s="1"/>
  <c r="Q23" i="2"/>
  <c r="P14" i="2"/>
  <c r="Q21" i="2"/>
  <c r="Q20" i="2"/>
  <c r="P39" i="2"/>
  <c r="P37" i="2"/>
  <c r="Q17" i="2"/>
  <c r="Q41" i="2"/>
  <c r="Q24" i="2"/>
  <c r="Q4" i="2"/>
  <c r="Q40" i="2"/>
  <c r="Q38" i="2"/>
  <c r="Q13" i="2"/>
  <c r="P25" i="2"/>
  <c r="L17" i="2"/>
  <c r="M17" i="2" s="1"/>
  <c r="Q15" i="2"/>
  <c r="Q36" i="2"/>
  <c r="Q11" i="2"/>
  <c r="L4" i="1" l="1"/>
  <c r="M4" i="1" s="1"/>
  <c r="V32" i="1" l="1"/>
  <c r="W32" i="1" s="1"/>
  <c r="Z32" i="1"/>
  <c r="AA32" i="1" s="1"/>
  <c r="V33" i="1"/>
  <c r="W33" i="1" s="1"/>
  <c r="Z33" i="1"/>
  <c r="AA33" i="1" s="1"/>
  <c r="V34" i="1"/>
  <c r="W34" i="1" s="1"/>
  <c r="Z34" i="1"/>
  <c r="AA34" i="1" s="1"/>
  <c r="V35" i="1"/>
  <c r="W35" i="1" s="1"/>
  <c r="Z35" i="1"/>
  <c r="AA35" i="1" s="1"/>
  <c r="V36" i="1"/>
  <c r="W36" i="1" s="1"/>
  <c r="Z36" i="1"/>
  <c r="AA36" i="1" s="1"/>
  <c r="V37" i="1"/>
  <c r="W37" i="1" s="1"/>
  <c r="Z37" i="1"/>
  <c r="AA37" i="1" s="1"/>
  <c r="V38" i="1"/>
  <c r="W38" i="1" s="1"/>
  <c r="Z38" i="1"/>
  <c r="AA38" i="1" s="1"/>
  <c r="V39" i="1"/>
  <c r="W39" i="1" s="1"/>
  <c r="Z39" i="1"/>
  <c r="AA39" i="1" s="1"/>
  <c r="V40" i="1"/>
  <c r="W40" i="1" s="1"/>
  <c r="Z40" i="1"/>
  <c r="AA40" i="1" s="1"/>
  <c r="V41" i="1"/>
  <c r="W41" i="1" s="1"/>
  <c r="Z41" i="1"/>
  <c r="AA41" i="1" s="1"/>
  <c r="V42" i="1"/>
  <c r="W42" i="1" s="1"/>
  <c r="Z42" i="1"/>
  <c r="AA42" i="1" s="1"/>
  <c r="V43" i="1"/>
  <c r="W43" i="1" s="1"/>
  <c r="Z43" i="1"/>
  <c r="AA43" i="1" s="1"/>
  <c r="V44" i="1"/>
  <c r="W44" i="1" s="1"/>
  <c r="Z44" i="1"/>
  <c r="AA44" i="1" s="1"/>
  <c r="V45" i="1"/>
  <c r="W45" i="1" s="1"/>
  <c r="Z45" i="1"/>
  <c r="AA45" i="1" s="1"/>
  <c r="V46" i="1"/>
  <c r="W46" i="1" s="1"/>
  <c r="Z46" i="1"/>
  <c r="AA46" i="1" s="1"/>
  <c r="V47" i="1"/>
  <c r="W47" i="1" s="1"/>
  <c r="Z47" i="1"/>
  <c r="AA47" i="1" s="1"/>
  <c r="V5" i="1" l="1"/>
  <c r="W5" i="1" s="1"/>
  <c r="Z5" i="1"/>
  <c r="AA5" i="1" s="1"/>
  <c r="V6" i="1"/>
  <c r="W6" i="1" s="1"/>
  <c r="Z6" i="1"/>
  <c r="AA6" i="1" s="1"/>
  <c r="V7" i="1"/>
  <c r="W7" i="1" s="1"/>
  <c r="Z7" i="1"/>
  <c r="AA7" i="1" s="1"/>
  <c r="V8" i="1"/>
  <c r="W8" i="1" s="1"/>
  <c r="Z8" i="1"/>
  <c r="AA8" i="1" s="1"/>
  <c r="V9" i="1"/>
  <c r="W9" i="1" s="1"/>
  <c r="Z9" i="1"/>
  <c r="AA9" i="1" s="1"/>
  <c r="V10" i="1"/>
  <c r="W10" i="1" s="1"/>
  <c r="Z10" i="1"/>
  <c r="AA10" i="1" s="1"/>
  <c r="V11" i="1"/>
  <c r="W11" i="1" s="1"/>
  <c r="Z11" i="1"/>
  <c r="AA11" i="1" s="1"/>
  <c r="V12" i="1"/>
  <c r="W12" i="1" s="1"/>
  <c r="Z12" i="1"/>
  <c r="AA12" i="1" s="1"/>
  <c r="V13" i="1"/>
  <c r="W13" i="1" s="1"/>
  <c r="Z13" i="1"/>
  <c r="AA13" i="1" s="1"/>
  <c r="V14" i="1"/>
  <c r="W14" i="1" s="1"/>
  <c r="Z14" i="1"/>
  <c r="AA14" i="1" s="1"/>
  <c r="V15" i="1"/>
  <c r="W15" i="1" s="1"/>
  <c r="Z15" i="1"/>
  <c r="AA15" i="1" s="1"/>
  <c r="V16" i="1"/>
  <c r="W16" i="1" s="1"/>
  <c r="Z16" i="1"/>
  <c r="AA16" i="1" s="1"/>
  <c r="V17" i="1"/>
  <c r="W17" i="1" s="1"/>
  <c r="Z17" i="1"/>
  <c r="AA17" i="1" s="1"/>
  <c r="V19" i="1"/>
  <c r="W19" i="1" s="1"/>
  <c r="Z19" i="1"/>
  <c r="AA19" i="1" s="1"/>
  <c r="V20" i="1"/>
  <c r="W20" i="1" s="1"/>
  <c r="Z20" i="1"/>
  <c r="AA20" i="1" s="1"/>
  <c r="V21" i="1"/>
  <c r="W21" i="1" s="1"/>
  <c r="Z21" i="1"/>
  <c r="AA21" i="1" s="1"/>
  <c r="V22" i="1"/>
  <c r="W22" i="1" s="1"/>
  <c r="Z22" i="1"/>
  <c r="AA22" i="1" s="1"/>
  <c r="V23" i="1"/>
  <c r="W23" i="1" s="1"/>
  <c r="Z23" i="1"/>
  <c r="AA23" i="1" s="1"/>
  <c r="V24" i="1"/>
  <c r="W24" i="1" s="1"/>
  <c r="Z24" i="1"/>
  <c r="AA24" i="1" s="1"/>
  <c r="V25" i="1"/>
  <c r="W25" i="1" s="1"/>
  <c r="Z25" i="1"/>
  <c r="AA25" i="1" s="1"/>
  <c r="V26" i="1"/>
  <c r="W26" i="1" s="1"/>
  <c r="Z26" i="1"/>
  <c r="AA26" i="1" s="1"/>
  <c r="V27" i="1"/>
  <c r="W27" i="1" s="1"/>
  <c r="Z27" i="1"/>
  <c r="AA27" i="1" s="1"/>
  <c r="V28" i="1"/>
  <c r="W28" i="1" s="1"/>
  <c r="Z28" i="1"/>
  <c r="AA28" i="1" s="1"/>
  <c r="V29" i="1"/>
  <c r="W29" i="1" s="1"/>
  <c r="Z29" i="1"/>
  <c r="AA29" i="1" s="1"/>
  <c r="V30" i="1"/>
  <c r="W30" i="1" s="1"/>
  <c r="Z30" i="1"/>
  <c r="AA30" i="1" s="1"/>
  <c r="V31" i="1"/>
  <c r="W31" i="1" s="1"/>
  <c r="Z31" i="1"/>
  <c r="AA31" i="1" s="1"/>
  <c r="L5" i="1"/>
  <c r="M5" i="1" s="1"/>
  <c r="P5" i="1"/>
  <c r="Q5" i="1" s="1"/>
  <c r="L6" i="1"/>
  <c r="M6" i="1" s="1"/>
  <c r="P6" i="1"/>
  <c r="Q6" i="1" s="1"/>
  <c r="L7" i="1"/>
  <c r="M7" i="1" s="1"/>
  <c r="P7" i="1"/>
  <c r="Q7" i="1" s="1"/>
  <c r="L8" i="1"/>
  <c r="M8" i="1" s="1"/>
  <c r="P8" i="1"/>
  <c r="Q8" i="1" s="1"/>
  <c r="L9" i="1"/>
  <c r="M9" i="1" s="1"/>
  <c r="P9" i="1"/>
  <c r="Q9" i="1" s="1"/>
  <c r="L10" i="1"/>
  <c r="M10" i="1" s="1"/>
  <c r="P10" i="1"/>
  <c r="Q10" i="1" s="1"/>
  <c r="L11" i="1"/>
  <c r="M11" i="1" s="1"/>
  <c r="P11" i="1"/>
  <c r="Q11" i="1" s="1"/>
  <c r="L12" i="1"/>
  <c r="M12" i="1" s="1"/>
  <c r="P12" i="1"/>
  <c r="Q12" i="1" s="1"/>
  <c r="L13" i="1"/>
  <c r="M13" i="1" s="1"/>
  <c r="P13" i="1"/>
  <c r="Q13" i="1" s="1"/>
  <c r="L14" i="1"/>
  <c r="M14" i="1" s="1"/>
  <c r="P14" i="1"/>
  <c r="Q14" i="1" s="1"/>
  <c r="L15" i="1"/>
  <c r="M15" i="1" s="1"/>
  <c r="P15" i="1"/>
  <c r="Q15" i="1" s="1"/>
  <c r="L16" i="1"/>
  <c r="M16" i="1" s="1"/>
  <c r="P16" i="1"/>
  <c r="Q16" i="1" s="1"/>
  <c r="L17" i="1"/>
  <c r="M17" i="1" s="1"/>
  <c r="P17" i="1"/>
  <c r="Q17" i="1" s="1"/>
  <c r="Z4" i="1"/>
  <c r="AA4" i="1" s="1"/>
  <c r="V4" i="1"/>
  <c r="W4" i="1" s="1"/>
  <c r="P4" i="1"/>
  <c r="Q4" i="1" s="1"/>
</calcChain>
</file>

<file path=xl/connections.xml><?xml version="1.0" encoding="utf-8"?>
<connections xmlns="http://schemas.openxmlformats.org/spreadsheetml/2006/main">
  <connection id="1" name="femap dump" type="6" refreshedVersion="5" background="1" saveData="1">
    <textPr codePage="437" sourceFile="C:\Users\kpederso\Desktop\femap dump.txt" space="1" consecutive="1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<sst xmlns="http://schemas.openxmlformats.org/spreadsheetml/2006/main" count="1803" uniqueCount="676">
  <si>
    <t>Surface #</t>
  </si>
  <si>
    <t>Part</t>
  </si>
  <si>
    <t>Description</t>
  </si>
  <si>
    <t>Min Pitch</t>
  </si>
  <si>
    <t>Max Pitch</t>
  </si>
  <si>
    <t>Min Yaw</t>
  </si>
  <si>
    <t>Max Yaw</t>
  </si>
  <si>
    <t xml:space="preserve">Dynamic Pressure = </t>
  </si>
  <si>
    <t>Strut Extender</t>
  </si>
  <si>
    <t>Front Right</t>
  </si>
  <si>
    <t>Front top</t>
  </si>
  <si>
    <t>Right</t>
  </si>
  <si>
    <t>Front Left</t>
  </si>
  <si>
    <t>Left</t>
  </si>
  <si>
    <t>Strut</t>
  </si>
  <si>
    <t>Pre-comp Ramp</t>
  </si>
  <si>
    <t>Front</t>
  </si>
  <si>
    <t>Right Fence</t>
  </si>
  <si>
    <t>Left Fence</t>
  </si>
  <si>
    <t>Bottom Fence</t>
  </si>
  <si>
    <t>Top</t>
  </si>
  <si>
    <t>Bottom</t>
  </si>
  <si>
    <t>Right Fence Strut</t>
  </si>
  <si>
    <t>Left Fence Strut</t>
  </si>
  <si>
    <t>1x1 CCE Model Load Calculations</t>
  </si>
  <si>
    <t>-7 AOA</t>
  </si>
  <si>
    <t>Nominal Pitch</t>
  </si>
  <si>
    <t>Nominal Yaw</t>
  </si>
  <si>
    <t>Notes</t>
  </si>
  <si>
    <t>Top Path</t>
  </si>
  <si>
    <t>Middle Path</t>
  </si>
  <si>
    <t>Lower Path</t>
  </si>
  <si>
    <t>CCE Right</t>
  </si>
  <si>
    <t>CCE Left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</si>
  <si>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</si>
  <si>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</si>
  <si>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</si>
  <si>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</si>
  <si>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</si>
  <si>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</si>
  <si>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</si>
  <si>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</si>
  <si>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</si>
  <si>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</si>
  <si>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</si>
  <si>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</si>
  <si>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</si>
  <si>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</si>
  <si>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</si>
  <si>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</si>
  <si>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</si>
  <si>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</si>
  <si>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</si>
  <si>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</si>
  <si>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</si>
  <si>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</si>
  <si>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X</t>
  </si>
  <si>
    <t>Y</t>
  </si>
  <si>
    <t>Z</t>
  </si>
  <si>
    <t>femap var name</t>
  </si>
  <si>
    <t>A0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</si>
  <si>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</si>
  <si>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</si>
  <si>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</si>
  <si>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</si>
  <si>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</si>
  <si>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</si>
  <si>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</si>
  <si>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</si>
  <si>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</si>
  <si>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AA</t>
  </si>
  <si>
    <t>AB</t>
  </si>
  <si>
    <t>AC</t>
  </si>
  <si>
    <t>AD</t>
  </si>
  <si>
    <t>AE</t>
  </si>
  <si>
    <t>AF</t>
  </si>
  <si>
    <t>AG</t>
  </si>
  <si>
    <t>AH</t>
  </si>
  <si>
    <t>Femap var name</t>
  </si>
  <si>
    <t>AI</t>
  </si>
  <si>
    <t>BI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</si>
  <si>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</si>
  <si>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</si>
  <si>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</si>
  <si>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</si>
  <si>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</si>
  <si>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</si>
  <si>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</si>
  <si>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</si>
  <si>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</si>
  <si>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</si>
  <si>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</si>
  <si>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</si>
  <si>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</si>
  <si>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</si>
  <si>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</si>
  <si>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</si>
  <si>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</si>
  <si>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</si>
  <si>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</si>
  <si>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</si>
  <si>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</si>
  <si>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</si>
  <si>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</si>
  <si>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</si>
  <si>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</si>
  <si>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</si>
  <si>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</si>
  <si>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BA</t>
  </si>
  <si>
    <t>BB</t>
  </si>
  <si>
    <t>BC</t>
  </si>
  <si>
    <t>BD</t>
  </si>
  <si>
    <t>BE</t>
  </si>
  <si>
    <t>BF</t>
  </si>
  <si>
    <t>BG</t>
  </si>
  <si>
    <t>BH</t>
  </si>
  <si>
    <t>BJ</t>
  </si>
  <si>
    <t>BK</t>
  </si>
  <si>
    <t>BL</t>
  </si>
  <si>
    <t>BM</t>
  </si>
  <si>
    <t>BN</t>
  </si>
  <si>
    <t>BO</t>
  </si>
  <si>
    <t>(radians)</t>
  </si>
  <si>
    <t>Load</t>
  </si>
  <si>
    <t>aoa and yaw +/- 10 degrees</t>
  </si>
  <si>
    <t>LOAD CASE 1: UNSTART</t>
  </si>
  <si>
    <t>put it here</t>
  </si>
  <si>
    <t>2A</t>
  </si>
  <si>
    <t>2B</t>
  </si>
  <si>
    <t>2C</t>
  </si>
  <si>
    <t>2D</t>
  </si>
  <si>
    <t>2E</t>
  </si>
  <si>
    <t>2F</t>
  </si>
  <si>
    <t>2G</t>
  </si>
  <si>
    <t>2H</t>
  </si>
  <si>
    <t>2I</t>
  </si>
  <si>
    <t>2J</t>
  </si>
  <si>
    <t>2K</t>
  </si>
  <si>
    <t>2L</t>
  </si>
  <si>
    <t>2M</t>
  </si>
  <si>
    <t>2N</t>
  </si>
  <si>
    <t>2O</t>
  </si>
  <si>
    <t>2P</t>
  </si>
  <si>
    <t>2Q</t>
  </si>
  <si>
    <t>2R</t>
  </si>
  <si>
    <t>2S</t>
  </si>
  <si>
    <t>2T</t>
  </si>
  <si>
    <t>2U</t>
  </si>
  <si>
    <t>2V</t>
  </si>
  <si>
    <t>2X</t>
  </si>
  <si>
    <t>2Y</t>
  </si>
  <si>
    <t>2Z</t>
  </si>
  <si>
    <t>2A0</t>
  </si>
  <si>
    <t>2A1</t>
  </si>
  <si>
    <t>2A2</t>
  </si>
  <si>
    <t>2A3</t>
  </si>
  <si>
    <t>2A4</t>
  </si>
  <si>
    <t>2A5</t>
  </si>
  <si>
    <t>2A6</t>
  </si>
  <si>
    <t>2A7</t>
  </si>
  <si>
    <t>2A8</t>
  </si>
  <si>
    <t>2A9</t>
  </si>
  <si>
    <t>2AA</t>
  </si>
  <si>
    <t>2AB</t>
  </si>
  <si>
    <t>2AC</t>
  </si>
  <si>
    <t>2AD</t>
  </si>
  <si>
    <t>2AE</t>
  </si>
  <si>
    <t>2AF</t>
  </si>
  <si>
    <t>2AG</t>
  </si>
  <si>
    <t>2AH</t>
  </si>
  <si>
    <t>1G</t>
  </si>
  <si>
    <t>1H</t>
  </si>
  <si>
    <t>1A</t>
  </si>
  <si>
    <t>1B</t>
  </si>
  <si>
    <t>1C</t>
  </si>
  <si>
    <t>1D</t>
  </si>
  <si>
    <t>1E</t>
  </si>
  <si>
    <t>1F</t>
  </si>
  <si>
    <t>1I</t>
  </si>
  <si>
    <t>1J</t>
  </si>
  <si>
    <t>1K</t>
  </si>
  <si>
    <t>1L</t>
  </si>
  <si>
    <t>1M</t>
  </si>
  <si>
    <t>1N</t>
  </si>
  <si>
    <t>3A</t>
  </si>
  <si>
    <t>3B</t>
  </si>
  <si>
    <t>3C</t>
  </si>
  <si>
    <t>3D</t>
  </si>
  <si>
    <t>3E</t>
  </si>
  <si>
    <t>3F</t>
  </si>
  <si>
    <t>3H</t>
  </si>
  <si>
    <t>3I</t>
  </si>
  <si>
    <t>3J</t>
  </si>
  <si>
    <t>3K</t>
  </si>
  <si>
    <t>3L</t>
  </si>
  <si>
    <t>3M</t>
  </si>
  <si>
    <t>3N</t>
  </si>
  <si>
    <t>3O</t>
  </si>
  <si>
    <t>3P</t>
  </si>
  <si>
    <t>3Q</t>
  </si>
  <si>
    <t>3R</t>
  </si>
  <si>
    <t>3S</t>
  </si>
  <si>
    <t>3T</t>
  </si>
  <si>
    <t>3U</t>
  </si>
  <si>
    <t>3V</t>
  </si>
  <si>
    <t>3X</t>
  </si>
  <si>
    <t>3Y</t>
  </si>
  <si>
    <t>3Z</t>
  </si>
  <si>
    <t>3A0</t>
  </si>
  <si>
    <t>3A1</t>
  </si>
  <si>
    <t>3A2</t>
  </si>
  <si>
    <t>3A3</t>
  </si>
  <si>
    <t>3A4</t>
  </si>
  <si>
    <t>3A5</t>
  </si>
  <si>
    <t>3A6</t>
  </si>
  <si>
    <t>3A7</t>
  </si>
  <si>
    <t>3A8</t>
  </si>
  <si>
    <t>3A9</t>
  </si>
  <si>
    <t>3AA</t>
  </si>
  <si>
    <t>3AB</t>
  </si>
  <si>
    <t>3AC</t>
  </si>
  <si>
    <t>3AD</t>
  </si>
  <si>
    <t>3AE</t>
  </si>
  <si>
    <t>3AF</t>
  </si>
  <si>
    <t>3AG</t>
  </si>
  <si>
    <t>3AH</t>
  </si>
  <si>
    <t>4A</t>
  </si>
  <si>
    <t>-17 pitch, +10 yaw</t>
  </si>
  <si>
    <t>yaw</t>
  </si>
  <si>
    <t>pitch</t>
  </si>
  <si>
    <t>+5 AOA</t>
  </si>
  <si>
    <t>0 yaw</t>
  </si>
  <si>
    <t>loads</t>
  </si>
  <si>
    <t>surf(0)=322</t>
  </si>
  <si>
    <t>surf(1)=334</t>
  </si>
  <si>
    <t>surf(2)=325</t>
  </si>
  <si>
    <t>surf(3)=321</t>
  </si>
  <si>
    <t>surf(4)=344</t>
  </si>
  <si>
    <t>surf(5)=510</t>
  </si>
  <si>
    <t>surf(6)=514</t>
  </si>
  <si>
    <t>surf(7)=515</t>
  </si>
  <si>
    <t>surf(8)=534</t>
  </si>
  <si>
    <t>surf(9)=536</t>
  </si>
  <si>
    <t>surf(10)=1960</t>
  </si>
  <si>
    <t>surf(11)=1961</t>
  </si>
  <si>
    <t>surf(12)=1966</t>
  </si>
  <si>
    <t>surf(13)=1969</t>
  </si>
  <si>
    <t>surf(14)=2014</t>
  </si>
  <si>
    <t>surf(15)=2024</t>
  </si>
  <si>
    <t>surf(16)=2027</t>
  </si>
  <si>
    <t>surf(17)=2078</t>
  </si>
  <si>
    <t>surf(18)=2080</t>
  </si>
  <si>
    <t>surf(19)=2093</t>
  </si>
  <si>
    <t>surf(20)=2128</t>
  </si>
  <si>
    <t>surf(21)=2130</t>
  </si>
  <si>
    <t>surf(22)=2171</t>
  </si>
  <si>
    <t>surf(23)=2175</t>
  </si>
  <si>
    <t>surf(24)=2224</t>
  </si>
  <si>
    <t>surf(25)=2229</t>
  </si>
  <si>
    <t>surf(26)=2233</t>
  </si>
  <si>
    <t>surf(27)=1021</t>
  </si>
  <si>
    <t>surf(28)=1072</t>
  </si>
  <si>
    <t>surf(29)=1174</t>
  </si>
  <si>
    <t>surf(30)=1175</t>
  </si>
  <si>
    <t>surf(31)=1176</t>
  </si>
  <si>
    <t>surf(32)=1228</t>
  </si>
  <si>
    <t>surf(33)=1229</t>
  </si>
  <si>
    <t>surf(34)=1230</t>
  </si>
  <si>
    <t>surf(35)=617</t>
  </si>
  <si>
    <t>surf(36)=618</t>
  </si>
  <si>
    <t>surf(37)=636</t>
  </si>
  <si>
    <t>surf(38)=638</t>
  </si>
  <si>
    <t>surf(39)=1323</t>
  </si>
  <si>
    <t>surf(40)=1324</t>
  </si>
  <si>
    <t>surf(41)=1327</t>
  </si>
  <si>
    <t>surf(42)=1328</t>
  </si>
  <si>
    <t>loadAct(0)=1.7</t>
  </si>
  <si>
    <t>loadAct(1)=1.5</t>
  </si>
  <si>
    <t>loadAct(3)=1.7</t>
  </si>
  <si>
    <t>loadAct(5)=1.7</t>
  </si>
  <si>
    <t>loadAct(6)=1.5</t>
  </si>
  <si>
    <t>loadAct(8)=1.7</t>
  </si>
  <si>
    <t>loadAct(10)=1.0</t>
  </si>
  <si>
    <t>loadAct(12)=6.0</t>
  </si>
  <si>
    <t>loadAct(14)=1.2</t>
  </si>
  <si>
    <t>loadAct(17)=1.2</t>
  </si>
  <si>
    <t>loadAct(20)=0.8</t>
  </si>
  <si>
    <t>loadAct(21)=0.8</t>
  </si>
  <si>
    <t>loadAct(22)=0.3</t>
  </si>
  <si>
    <t>loadAct(23)=1.6</t>
  </si>
  <si>
    <t>loadAct(25)=1.6</t>
  </si>
  <si>
    <t>loadAct(27)=0.3</t>
  </si>
  <si>
    <t>loadAct(28)=0.9</t>
  </si>
  <si>
    <t>loadAct(29)=0.5</t>
  </si>
  <si>
    <t>loadAct(30)=0.1</t>
  </si>
  <si>
    <t>loadAct(31)=0.4</t>
  </si>
  <si>
    <t>loadAct(32)=6.0</t>
  </si>
  <si>
    <t>loadAct(33)=1.1</t>
  </si>
  <si>
    <t>loadAct(34)=7.2</t>
  </si>
  <si>
    <t>loadAct(36)=0.4</t>
  </si>
  <si>
    <t>loadAct(38)=7.2</t>
  </si>
  <si>
    <t>loadAct(40)=0.4</t>
  </si>
  <si>
    <t>loadAct(42)=7.2</t>
  </si>
  <si>
    <t>loadAct(2)=0.001</t>
  </si>
  <si>
    <t>loadAct(4)=0.001</t>
  </si>
  <si>
    <t>loadAct(7)=0.001</t>
  </si>
  <si>
    <t>loadAct(9)=0.001</t>
  </si>
  <si>
    <t>loadAct(11)=0.001</t>
  </si>
  <si>
    <t>loadAct(13)=0.001</t>
  </si>
  <si>
    <t>loadAct(15)=0.001</t>
  </si>
  <si>
    <t>loadAct(16)=0.001</t>
  </si>
  <si>
    <t>loadAct(18)=0.001</t>
  </si>
  <si>
    <t>loadAct(19)=0.001</t>
  </si>
  <si>
    <t>loadAct(24)=0.001</t>
  </si>
  <si>
    <t>loadAct(26)=0.001</t>
  </si>
  <si>
    <t>loadAct(35)=0.001</t>
  </si>
  <si>
    <t>loadAct(37)=0.001</t>
  </si>
  <si>
    <t>loadAct(39)=0.001</t>
  </si>
  <si>
    <t>loadAct(41)=0.001</t>
  </si>
  <si>
    <t>hidden in case</t>
  </si>
  <si>
    <t>x</t>
  </si>
  <si>
    <t>loadAct(0)=9.0</t>
  </si>
  <si>
    <t>loadAct(1)=8.2</t>
  </si>
  <si>
    <t>loadAct(2)=3.7</t>
  </si>
  <si>
    <t>loadAct(3)=1.8</t>
  </si>
  <si>
    <t>loadAct(5)=9.0</t>
  </si>
  <si>
    <t>loadAct(6)=8.2</t>
  </si>
  <si>
    <t>loadAct(7)=3.7</t>
  </si>
  <si>
    <t>loadAct(8)=1.8</t>
  </si>
  <si>
    <t>loadAct(10)=6.9</t>
  </si>
  <si>
    <t>loadAct(11)=3.7</t>
  </si>
  <si>
    <t>loadAct(12)=3.9</t>
  </si>
  <si>
    <t>loadAct(19)=3.7</t>
  </si>
  <si>
    <t>loadAct(17)=3.7</t>
  </si>
  <si>
    <t>surf(5)=514</t>
  </si>
  <si>
    <t>surf(6)=515</t>
  </si>
  <si>
    <t>surf(7)=534</t>
  </si>
  <si>
    <t>surf(8)=510</t>
  </si>
  <si>
    <t>surf(10)=1969</t>
  </si>
  <si>
    <t>surf(11)=1960</t>
  </si>
  <si>
    <t>loadAct(16)=3.7</t>
  </si>
  <si>
    <t>loadAct(20)=3.7</t>
  </si>
  <si>
    <t>loadAct(26)=1.3</t>
  </si>
  <si>
    <t>loadAct(27)=3.7</t>
  </si>
  <si>
    <t>loadAct(37)=5.1</t>
  </si>
  <si>
    <t>loadAct(42)=3.7</t>
  </si>
  <si>
    <t>Nominal Pitch(-7)</t>
  </si>
  <si>
    <t>mount plate</t>
  </si>
  <si>
    <t xml:space="preserve">top </t>
  </si>
  <si>
    <t>front</t>
  </si>
  <si>
    <t>top right</t>
  </si>
  <si>
    <t>top left</t>
  </si>
  <si>
    <t>surf(12)=2431</t>
  </si>
  <si>
    <t>surf(13)=1966</t>
  </si>
  <si>
    <t>loadAct(14)=0.001</t>
  </si>
  <si>
    <t>surf(14)=1961</t>
  </si>
  <si>
    <t>surf(15)=2411</t>
  </si>
  <si>
    <t>surf(16)=2024</t>
  </si>
  <si>
    <t>surf(17)=2014</t>
  </si>
  <si>
    <t>surf(18)=2027</t>
  </si>
  <si>
    <t>surf(19)=2080</t>
  </si>
  <si>
    <t>surf(20)=2418</t>
  </si>
  <si>
    <t>loadAct(21)=3.7</t>
  </si>
  <si>
    <t>surf(21)=2093</t>
  </si>
  <si>
    <t>surf(22)=2233</t>
  </si>
  <si>
    <t>surf(23)=2224</t>
  </si>
  <si>
    <t>surf(24)=2229</t>
  </si>
  <si>
    <t>surf(25)=2130</t>
  </si>
  <si>
    <t>surf(26)=2128</t>
  </si>
  <si>
    <t>surf(27)=2175</t>
  </si>
  <si>
    <t>loadAct(28)=3.7</t>
  </si>
  <si>
    <t>surf(28)=2171</t>
  </si>
  <si>
    <t>surf(29)=1021</t>
  </si>
  <si>
    <t>surf(30)=1072</t>
  </si>
  <si>
    <t>surf(32)=1175</t>
  </si>
  <si>
    <t>surf(33)=1174</t>
  </si>
  <si>
    <t>surf(35)=1229</t>
  </si>
  <si>
    <t>surf(36)=1228</t>
  </si>
  <si>
    <t>surf(37)=1323</t>
  </si>
  <si>
    <t>surf(38)=1327</t>
  </si>
  <si>
    <t>surf(39)=1328</t>
  </si>
  <si>
    <t>surf(41)=636</t>
  </si>
  <si>
    <t>surf(42)=618</t>
  </si>
  <si>
    <t>loadAct(43)=3.7</t>
  </si>
  <si>
    <t>surf(43)=2425</t>
  </si>
  <si>
    <t>surf(44)=617</t>
  </si>
  <si>
    <t>surf(45)=446</t>
  </si>
  <si>
    <t>surf(46)=409</t>
  </si>
  <si>
    <t>loadAct(32)=3.1</t>
  </si>
  <si>
    <t>loadAct(4)=3.7</t>
  </si>
  <si>
    <t>loadAct(9)=3.7</t>
  </si>
  <si>
    <t>loadAct(13)=3.9</t>
  </si>
  <si>
    <t>loadAct(15)=7.6</t>
  </si>
  <si>
    <t>loadAct(22)=6.2</t>
  </si>
  <si>
    <t>loadAct(23)=6.2</t>
  </si>
  <si>
    <t>loadAct(24)=7.6</t>
  </si>
  <si>
    <t>loadAct(25)=3.7</t>
  </si>
  <si>
    <t>loadAct(29)=2.6</t>
  </si>
  <si>
    <t>loadAct(30)=6.5</t>
  </si>
  <si>
    <t>loadAct(31)=5.4</t>
  </si>
  <si>
    <t>loadAct(33)=5.0</t>
  </si>
  <si>
    <t>loadAct(34)=3.9</t>
  </si>
  <si>
    <t>loadAct(35)=0.1</t>
  </si>
  <si>
    <t>loadAct(36)=3.9</t>
  </si>
  <si>
    <t>loadAct(38)=3.7</t>
  </si>
  <si>
    <t>loadAct(39)=3.7</t>
  </si>
  <si>
    <t>loadAct(40)=3.9</t>
  </si>
  <si>
    <t>loadAct(41)=2.2</t>
  </si>
  <si>
    <t>loadAct(44)=3.9</t>
  </si>
  <si>
    <t>loadAct(45)=6.9</t>
  </si>
  <si>
    <t>loadAct(46)=6.9</t>
  </si>
  <si>
    <t>hidden flag -17 pitch, 10 yaw</t>
  </si>
  <si>
    <t>hidden flag +15 pitch, 10 yaw</t>
  </si>
  <si>
    <t>hidden flag +5 pitch</t>
  </si>
  <si>
    <t>-7 pitch</t>
  </si>
  <si>
    <t>+15 pitch, +10 yaw</t>
  </si>
  <si>
    <t>+5 pitch</t>
  </si>
  <si>
    <t>+15 pitch</t>
  </si>
  <si>
    <t>-17 pitch</t>
  </si>
  <si>
    <t>+10 yaw</t>
  </si>
  <si>
    <t>0 pitch angle</t>
  </si>
  <si>
    <t>surf(5)=2640</t>
  </si>
  <si>
    <t>-10 yaw</t>
  </si>
  <si>
    <t>surf(0)=2687</t>
  </si>
  <si>
    <t>surf(1)=2694</t>
  </si>
  <si>
    <t>surf(2)=2685</t>
  </si>
  <si>
    <t>surf(3)=2642</t>
  </si>
  <si>
    <t>surf(4)=2640</t>
  </si>
  <si>
    <t>surf(1)=2692</t>
  </si>
  <si>
    <t>surf(4)=2655</t>
  </si>
  <si>
    <t>surf(2)=2692</t>
  </si>
  <si>
    <t>surf(3)=2685</t>
  </si>
  <si>
    <t>surf(4)=2642</t>
  </si>
  <si>
    <t>surf(5)=2655</t>
  </si>
  <si>
    <t>surf(6)=2640</t>
  </si>
  <si>
    <t>31894     7.3                          238031  238608</t>
  </si>
  <si>
    <t>PLOAD4         1   31895     7.3                          238261  238493</t>
  </si>
  <si>
    <t>PLOAD4         1   31899     7.3                          238236  238613</t>
  </si>
  <si>
    <t>PLOAD4         1   31917     7.3                          238025  238224</t>
  </si>
  <si>
    <t>PLOAD4         1   31921     7.3                          238244  238503</t>
  </si>
  <si>
    <t>PLOAD4         1   31949     7.3                          238242  238450</t>
  </si>
  <si>
    <t>PLOAD4         1   31970     7.3                          238027  238516</t>
  </si>
  <si>
    <t>PLOAD4         1   31971     7.3                          238229  238464</t>
  </si>
  <si>
    <t>PLOAD4         1   32127     7.3                          238261  238493</t>
  </si>
  <si>
    <t>PLOAD4         1   32130     7.3                          238263  238595</t>
  </si>
  <si>
    <t>PLOAD4         1   32162     7.3                          238273  238474</t>
  </si>
  <si>
    <t>PLOAD4         1   32235     7.3                          238244  238440</t>
  </si>
  <si>
    <t>PLOAD4         1   32236     7.3                          238245  238492</t>
  </si>
  <si>
    <t>PLOAD4         1   32284     7.3                          238033  238494</t>
  </si>
  <si>
    <t>PLOAD4         1   32296     7.3                          238033  238494</t>
  </si>
  <si>
    <t>PLOAD4         1   32368     7.3                          238025  239451</t>
  </si>
  <si>
    <t>PLOAD4         1   32426     7.3                          238039  239444</t>
  </si>
  <si>
    <t>PLOAD4         1   32430     7.3                          238229  238473</t>
  </si>
  <si>
    <t>PLOAD4         1   32543     7.3                          238230  238226</t>
  </si>
  <si>
    <t>PLOAD4         1   32580     7.3                          238257  238490</t>
  </si>
  <si>
    <t>PLOAD4         1   32629     7.3                          238239  238525</t>
  </si>
  <si>
    <t>PLOAD4         1   32633     7.3                          238272  238601</t>
  </si>
  <si>
    <t>PLOAD4         1   32728     7.3                          238256  238490</t>
  </si>
  <si>
    <t>PLOAD4         1   32767     7.3                          238269  238500</t>
  </si>
  <si>
    <t>PLOAD4         1   32769     7.3                          238271  238601</t>
  </si>
  <si>
    <t>PLOAD4         1   32812     7.3                          238238  238464</t>
  </si>
  <si>
    <t>PLOAD4         1   32815     7.3                          238238  238464</t>
  </si>
  <si>
    <t>PLOAD4         1   32922     7.3                          238031  238607</t>
  </si>
  <si>
    <t>PLOAD4         1   32945     7.3                          238038  239444</t>
  </si>
  <si>
    <t>PLOAD4         1   32974     7.3                          238027  238553</t>
  </si>
  <si>
    <t>PLOAD4         1   33014     7.3                          238247  238489</t>
  </si>
  <si>
    <t>PLOAD4         1   33144     7.3                          238273  238473</t>
  </si>
  <si>
    <t>PLOAD4         1   33146     7.3                          238229  238227</t>
  </si>
  <si>
    <t>PLOAD4         1   33165     7.3                          238240  238525</t>
  </si>
  <si>
    <t>PLOAD4         1   33180     7.3                          238257  238490</t>
  </si>
  <si>
    <t>PLOAD4         1   33248     7.3                          238252  238510</t>
  </si>
  <si>
    <t>PLOAD4         1   33252     7.3                          238037  238612</t>
  </si>
  <si>
    <t>PLOAD4         1   33290     7.3                          238235  238277</t>
  </si>
  <si>
    <t>PLOAD4         1   33292     7.3                          238250  238509</t>
  </si>
  <si>
    <t>PLOAD4         1   33295     7.3                          238236  238277</t>
  </si>
  <si>
    <t>PLOAD4         1   33326     7.3                          238029  238561</t>
  </si>
  <si>
    <t>PLOAD4         1   33410     7.3                          238240  238451</t>
  </si>
  <si>
    <t>PLOAD4         1   33415     7.3                          238240  238451</t>
  </si>
  <si>
    <t>PLOAD4         1   33432     7.3                          238037  238612</t>
  </si>
  <si>
    <t>PLOAD4         1   33513     7.3                          238035  238538</t>
  </si>
  <si>
    <t>PLOAD4         1   33545     7.3                          238248  238489</t>
  </si>
  <si>
    <t>PLOAD4         1   33548     7.3                          238246  238452</t>
  </si>
  <si>
    <t>PLOAD4         1   33551     7.3                          238255  238535</t>
  </si>
  <si>
    <t>PLOAD4         1   33556     7.3                          238236  238613</t>
  </si>
  <si>
    <t>PLOAD4         1   33573     7.3                          238242  238499</t>
  </si>
  <si>
    <t>PLOAD4         1   33710     7.3                          238244  238440</t>
  </si>
  <si>
    <t>PLOAD4         1   33716     7.3                          238026  238516</t>
  </si>
  <si>
    <t>PLOAD4         1   33792     7.3                          238265  238582</t>
  </si>
  <si>
    <t>PLOAD4         1   33811     7.3                          238029  238561</t>
  </si>
  <si>
    <t>PLOAD4         1   33822     7.3                          238242  238450</t>
  </si>
  <si>
    <t>PLOAD4         1   33835     7.3                          238249  238509</t>
  </si>
  <si>
    <t>PLOAD4         1   33843     7.3                          238253  238535</t>
  </si>
  <si>
    <t>PLOAD4         1   33851     7.3                          238248  238453</t>
  </si>
  <si>
    <t>PLOAD4         1   33923     7.3                          238241  238499</t>
  </si>
  <si>
    <t>PLOAD4         1   33924     7.3                          238268  238567</t>
  </si>
  <si>
    <t>PLOAD4         1   33948     7.3                          238269  238500</t>
  </si>
  <si>
    <t>PLOAD4         1   33951     7.3                          238033  238494</t>
  </si>
  <si>
    <t>PLOAD4         1   33953     7.3                          238037  238538</t>
  </si>
  <si>
    <t>PLOAD4         1   33954     7.3                          238036  238538</t>
  </si>
  <si>
    <t>PLOAD4         1   33984     7.3                          238034  238592</t>
  </si>
  <si>
    <t>PLOAD4         1   34057     7.3                          238265  238582</t>
  </si>
  <si>
    <t>PLOAD4         1   34079     7.3                          238267  238583</t>
  </si>
  <si>
    <t>PLOAD4         1   34092     7.3                          238246  238452</t>
  </si>
  <si>
    <t>PLOAD4         1   34101     7.3                          238246  238492</t>
  </si>
  <si>
    <t>PLOAD4         1   34105     7.3                          238243  238503</t>
  </si>
  <si>
    <t>PLOAD4         1   34163     7.3                          238251  238510</t>
  </si>
  <si>
    <t>PLOAD4         1   34175     7.3                          238253  238537</t>
  </si>
  <si>
    <t>PLOAD4         1   34198     7.3                          238030  238607</t>
  </si>
  <si>
    <t>PLOAD4         1   34219     7.3                          238029  238554</t>
  </si>
  <si>
    <t>PLOAD4         1   34220     7.3                          238028  238554</t>
  </si>
  <si>
    <t>PLOAD4         1   34225     7.3                          238027  238554</t>
  </si>
  <si>
    <t>PLOAD4         1   34231     7.3                          238260  238602</t>
  </si>
  <si>
    <t>PLOAD4         1   34235     7.3                          238248  238453</t>
  </si>
  <si>
    <t>PLOAD4         1   34236     7.3                          238035  238592</t>
  </si>
  <si>
    <t>PLOAD4         1   34238     7.3                          238035  238538</t>
  </si>
  <si>
    <t>PLOAD4         1   34297     7.3                          238031  238608</t>
  </si>
  <si>
    <t>PLOAD4         1   34417     7.3                          238032  238608</t>
  </si>
  <si>
    <t>PLOAD4         1   34438     7.3                          238264  238582</t>
  </si>
  <si>
    <t xml:space="preserve">PLOAD4         1   34441 </t>
  </si>
  <si>
    <t>PLOAD4</t>
  </si>
  <si>
    <t>surf(16)=618</t>
  </si>
  <si>
    <t>Strongback</t>
  </si>
  <si>
    <t>right front top</t>
  </si>
  <si>
    <t>right front bottom</t>
  </si>
  <si>
    <t>right hsps</t>
  </si>
  <si>
    <t>right lsps</t>
  </si>
  <si>
    <t>left front top</t>
  </si>
  <si>
    <t>left front bottom</t>
  </si>
  <si>
    <t>left hsps</t>
  </si>
  <si>
    <t>left lsps</t>
  </si>
  <si>
    <t>bottom front</t>
  </si>
  <si>
    <t>bottom back</t>
  </si>
  <si>
    <t>hidden flag -7 pitch</t>
  </si>
  <si>
    <t>loadAct(7)=20.</t>
  </si>
  <si>
    <t>loadAct(5)=11.</t>
  </si>
  <si>
    <t>surf(14)=1021</t>
  </si>
  <si>
    <t>surf(15)=1175</t>
  </si>
  <si>
    <t>surf(16)=1229</t>
  </si>
  <si>
    <t>surf(17)=1228</t>
  </si>
  <si>
    <t>loadAct(10)=11.</t>
  </si>
  <si>
    <t>surf(10)=1021</t>
  </si>
  <si>
    <t>surf(11)=1175</t>
  </si>
  <si>
    <t>surf(12)=1229</t>
  </si>
  <si>
    <t>surf(13)=1228</t>
  </si>
  <si>
    <t>surf(14)=1327</t>
  </si>
  <si>
    <t>surf(15)=1324</t>
  </si>
  <si>
    <t>surf(17)=617</t>
  </si>
  <si>
    <t>surf(18)=3447</t>
  </si>
  <si>
    <t>surf(19)=3445</t>
  </si>
  <si>
    <t>surf(19)=1327</t>
  </si>
  <si>
    <t>surf(20)=1324</t>
  </si>
  <si>
    <t>surf(21)=617</t>
  </si>
  <si>
    <t>surf(22)=3376</t>
  </si>
  <si>
    <t>surf(23)=3449</t>
  </si>
  <si>
    <t>surf(24)=3453</t>
  </si>
  <si>
    <t>surf(25)=3456</t>
  </si>
  <si>
    <t>surf(26)=3447</t>
  </si>
  <si>
    <t>surf(27)=3445</t>
  </si>
  <si>
    <t>loadAct(0)=27.</t>
  </si>
  <si>
    <t>loadAct(1)=27.</t>
  </si>
  <si>
    <t>loadAct(2)=11.</t>
  </si>
  <si>
    <t>loadAct(3)=5.6</t>
  </si>
  <si>
    <t>loadAct(4)=27.</t>
  </si>
  <si>
    <t>loadAct(6)=5.6</t>
  </si>
  <si>
    <t>loadAct(7)=24.</t>
  </si>
  <si>
    <t>loadAct(8)=11.</t>
  </si>
  <si>
    <t>loadAct(9)=15.</t>
  </si>
  <si>
    <t>loadAct(10)=15.</t>
  </si>
  <si>
    <t>loadAct(11)=22.</t>
  </si>
  <si>
    <t>loadAct(12)=11.</t>
  </si>
  <si>
    <t>loadAct(13)=11.</t>
  </si>
  <si>
    <t>loadAct(16)=11.</t>
  </si>
  <si>
    <t>loadAct(17)=11.</t>
  </si>
  <si>
    <t>loadAct(22)=22.</t>
  </si>
  <si>
    <t>loadAct(24)=11.</t>
  </si>
  <si>
    <t>loadAct(25)=11.</t>
  </si>
  <si>
    <t>loadAct(26)=11.</t>
  </si>
  <si>
    <t>loadAct(0)=16.</t>
  </si>
  <si>
    <t>loadAct(1)=17.</t>
  </si>
  <si>
    <t>loadAct(2)=16.</t>
  </si>
  <si>
    <t>loadAct(3)=16.</t>
  </si>
  <si>
    <t>loadAct(4)=16.</t>
  </si>
  <si>
    <t>loadAct(5)=13.</t>
  </si>
  <si>
    <t>loadAct(6)=3.9</t>
  </si>
  <si>
    <t>loadAct(7)=3.9</t>
  </si>
  <si>
    <t>loadAct(9)=11.</t>
  </si>
  <si>
    <t>loadAct(11)=15.</t>
  </si>
  <si>
    <t>loadAct(15)=4.4</t>
  </si>
  <si>
    <t>loadAct(16)=4.4</t>
  </si>
  <si>
    <t>loadAct(18)=11.</t>
  </si>
  <si>
    <t>loadAct(1)=11.</t>
  </si>
  <si>
    <t>loadAct(2)=5.6</t>
  </si>
  <si>
    <t>loadAct(3)=27.</t>
  </si>
  <si>
    <t>loadAct(4)=11.</t>
  </si>
  <si>
    <t>loadAct(5)=5.6</t>
  </si>
  <si>
    <t>loadAct(6)=11.</t>
  </si>
  <si>
    <t>loadAct(8)=22.</t>
  </si>
  <si>
    <t>loadAct(11)=25.</t>
  </si>
  <si>
    <t>loadAct(14)=24.</t>
  </si>
  <si>
    <t>loadAct(15)=22.</t>
  </si>
  <si>
    <t>loadAct(16)=30.</t>
  </si>
  <si>
    <t>loadAct(17)=20.</t>
  </si>
  <si>
    <t>loadAct(19)=15.</t>
  </si>
  <si>
    <t>loadAct(20)=20.</t>
  </si>
  <si>
    <t>loadAct(21)=20.</t>
  </si>
  <si>
    <t>loadAct(22)=11.</t>
  </si>
  <si>
    <t>loadAct(23)=11.</t>
  </si>
  <si>
    <t>loadAct(26)=17.</t>
  </si>
  <si>
    <t>loadAct(27)=17.</t>
  </si>
  <si>
    <t>loadAct(1)=3.9</t>
  </si>
  <si>
    <t>loadAct(5)=9.5</t>
  </si>
  <si>
    <t>loadAct(7)=11.</t>
  </si>
  <si>
    <t>loadAct(8)=15.</t>
  </si>
  <si>
    <t>loadAct(10)=13.</t>
  </si>
  <si>
    <t>loadAct(11)=11.</t>
  </si>
  <si>
    <t>loadAct(12)=20.</t>
  </si>
  <si>
    <t>loadAct(13)=9.5</t>
  </si>
  <si>
    <t>loadAct(14)=4.4</t>
  </si>
  <si>
    <t>loadAct(15)=9.5</t>
  </si>
  <si>
    <t>loadAct(17)=9.5</t>
  </si>
  <si>
    <t>loadAct(18)=6.7</t>
  </si>
  <si>
    <t>loadAct(19)=6.7</t>
  </si>
  <si>
    <t>surf(7)=278</t>
  </si>
  <si>
    <t>surf(8)=290</t>
  </si>
  <si>
    <t>surf(9)=373</t>
  </si>
  <si>
    <t>surf(10)=287</t>
  </si>
  <si>
    <t>loadAct(14)=25.</t>
  </si>
  <si>
    <t>loadAct(15)=11.</t>
  </si>
  <si>
    <t>surf(16)=1021</t>
  </si>
  <si>
    <t>loadAct(17)=12.</t>
  </si>
  <si>
    <t>surf(17)=1175</t>
  </si>
  <si>
    <t>loadAct(18)=3.9</t>
  </si>
  <si>
    <t>surf(18)=1229</t>
  </si>
  <si>
    <t>loadAct(19)=11.</t>
  </si>
  <si>
    <t>loadAct(20)=15.</t>
  </si>
  <si>
    <t>surf(20)=1327</t>
  </si>
  <si>
    <t>loadAct(21)=22.</t>
  </si>
  <si>
    <t>surf(21)=446</t>
  </si>
  <si>
    <t>surf(22)=409</t>
  </si>
  <si>
    <t>surf(23)=3376</t>
  </si>
  <si>
    <t>surf(24)=3449</t>
  </si>
  <si>
    <t>surf(25)=3453</t>
  </si>
  <si>
    <t>surf(26)=3456</t>
  </si>
  <si>
    <t>surf(5)=278</t>
  </si>
  <si>
    <t>surf(6)=373</t>
  </si>
  <si>
    <t>surf(7)=287</t>
  </si>
  <si>
    <t>loadAct(12)=1.6</t>
  </si>
  <si>
    <t>surf(12)=1175</t>
  </si>
  <si>
    <t>loadAct(13)=7.2</t>
  </si>
  <si>
    <t>surf(13)=1229</t>
  </si>
  <si>
    <t>surf(15)=618</t>
  </si>
  <si>
    <t>surf(16)=446</t>
  </si>
  <si>
    <t>surf(17)=409</t>
  </si>
  <si>
    <t>surf(6)=290</t>
  </si>
  <si>
    <t>surf(7)=285</t>
  </si>
  <si>
    <t>surf(5)=285</t>
  </si>
  <si>
    <t>surf(11)=27</t>
  </si>
  <si>
    <t>surf(12)=38</t>
  </si>
  <si>
    <t>surf(13)=96</t>
  </si>
  <si>
    <t>surf(14)=122</t>
  </si>
  <si>
    <t>surf(15)=368</t>
  </si>
  <si>
    <t>surf(19)=331</t>
  </si>
  <si>
    <t>surf(8)=27</t>
  </si>
  <si>
    <t>surf(9)=76</t>
  </si>
  <si>
    <t>surf(10)=122</t>
  </si>
  <si>
    <t>surf(11)=370</t>
  </si>
  <si>
    <t>surf(9)=38</t>
  </si>
  <si>
    <t>surf(10)=96</t>
  </si>
  <si>
    <t>surf(11)=122</t>
  </si>
  <si>
    <t>surf(12)=370</t>
  </si>
  <si>
    <t>surf(13)=368</t>
  </si>
  <si>
    <t>surf(18)=331</t>
  </si>
  <si>
    <t>surf(6)=27</t>
  </si>
  <si>
    <t>surf(7)=76</t>
  </si>
  <si>
    <t>surf(8)=122</t>
  </si>
  <si>
    <t>surf(9)=370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</si>
</sst>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quotePrefix="1" applyFont="1" applyBorder="1"/>
    <xf numFmtId="0" fontId="0" fillId="0" borderId="2" xfId="0" applyBorder="1"/>
    <xf numFmtId="0" fontId="0" fillId="0" borderId="3" xfId="0" applyBorder="1"/>
    <xf numFmtId="0" fontId="1" fillId="0" borderId="4" xfId="0" applyFont="1" applyBorder="1"/>
    <xf numFmtId="0" fontId="1" fillId="0" borderId="0" xfId="0" applyFont="1" applyBorder="1"/>
    <xf numFmtId="0" fontId="1" fillId="0" borderId="5" xfId="0" applyFont="1" applyBorder="1"/>
    <xf numFmtId="0" fontId="0" fillId="0" borderId="0" xfId="0" applyBorder="1"/>
    <xf numFmtId="0" fontId="0" fillId="0" borderId="6" xfId="0" applyBorder="1"/>
    <xf numFmtId="0" fontId="0" fillId="0" borderId="0" xfId="0" applyFill="1" applyBorder="1"/>
    <xf numFmtId="0" fontId="0" fillId="2" borderId="0" xfId="0" applyFill="1" applyBorder="1"/>
    <xf numFmtId="0" fontId="0" fillId="0" borderId="7" xfId="0" applyBorder="1"/>
    <xf numFmtId="0" fontId="1" fillId="0" borderId="8" xfId="0" applyFont="1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1" fillId="0" borderId="10" xfId="0" applyFont="1" applyBorder="1"/>
    <xf numFmtId="0" fontId="0" fillId="0" borderId="10" xfId="0" applyBorder="1"/>
    <xf numFmtId="0" fontId="0" fillId="0" borderId="10" xfId="0" applyFill="1" applyBorder="1"/>
    <xf numFmtId="0" fontId="0" fillId="2" borderId="10" xfId="0" applyFill="1" applyBorder="1"/>
    <xf numFmtId="0" fontId="0" fillId="3" borderId="10" xfId="0" applyFill="1" applyBorder="1"/>
    <xf numFmtId="0" fontId="0" fillId="3" borderId="0" xfId="0" applyFill="1" applyBorder="1"/>
    <xf numFmtId="0" fontId="0" fillId="3" borderId="8" xfId="0" applyFill="1" applyBorder="1"/>
    <xf numFmtId="0" fontId="0" fillId="0" borderId="10" xfId="0" quotePrefix="1" applyBorder="1"/>
    <xf numFmtId="0" fontId="0" fillId="0" borderId="11" xfId="0" applyFill="1" applyBorder="1"/>
    <xf numFmtId="0" fontId="0" fillId="0" borderId="0" xfId="0" applyAlignment="1">
      <alignment wrapText="1"/>
    </xf>
    <xf numFmtId="0" fontId="1" fillId="0" borderId="0" xfId="0" applyFont="1" applyAlignment="1"/>
    <xf numFmtId="0" fontId="1" fillId="0" borderId="4" xfId="0" applyFont="1" applyBorder="1" applyAlignment="1"/>
    <xf numFmtId="0" fontId="1" fillId="0" borderId="0" xfId="0" applyFont="1" applyBorder="1" applyAlignment="1"/>
    <xf numFmtId="0" fontId="1" fillId="0" borderId="8" xfId="0" applyFont="1" applyBorder="1" applyAlignment="1"/>
    <xf numFmtId="0" fontId="1" fillId="0" borderId="5" xfId="0" applyFont="1" applyBorder="1" applyAlignment="1"/>
    <xf numFmtId="0" fontId="0" fillId="0" borderId="0" xfId="0" quotePrefix="1" applyAlignment="1"/>
    <xf numFmtId="0" fontId="2" fillId="0" borderId="2" xfId="0" applyFont="1" applyBorder="1"/>
    <xf numFmtId="0" fontId="2" fillId="0" borderId="2" xfId="0" quotePrefix="1" applyFont="1" applyBorder="1"/>
    <xf numFmtId="0" fontId="0" fillId="0" borderId="3" xfId="0" quotePrefix="1" applyBorder="1"/>
    <xf numFmtId="0" fontId="0" fillId="0" borderId="2" xfId="0" quotePrefix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361950</xdr:colOff>
      <xdr:row>52</xdr:row>
      <xdr:rowOff>133349</xdr:rowOff>
    </xdr:from>
    <xdr:to>
      <xdr:col>13</xdr:col>
      <xdr:colOff>530767</xdr:colOff>
      <xdr:row>75</xdr:row>
      <xdr:rowOff>160866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" y="6419849"/>
          <a:ext cx="7845967" cy="4409017"/>
        </a:xfrm>
        <a:prstGeom prst="rect">
          <a:avLst/>
        </a:prstGeom>
      </xdr:spPr>
    </xdr:pic>
    <xdr:clientData/>
  </xdr:twoCellAnchor>
  <xdr:twoCellAnchor editAs="oneCell">
    <xdr:from>
      <xdr:col>14</xdr:col>
      <xdr:colOff>276225</xdr:colOff>
      <xdr:row>53</xdr:row>
      <xdr:rowOff>133456</xdr:rowOff>
    </xdr:from>
    <xdr:to>
      <xdr:col>26</xdr:col>
      <xdr:colOff>255692</xdr:colOff>
      <xdr:row>77</xdr:row>
      <xdr:rowOff>122949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34350" y="9687031"/>
          <a:ext cx="7732817" cy="4561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0</xdr:col>
          <xdr:colOff>914400</xdr:colOff>
          <xdr:row>1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0</xdr:row>
          <xdr:rowOff>57150</xdr:rowOff>
        </xdr:from>
        <xdr:to>
          <xdr:col>1</xdr:col>
          <xdr:colOff>1038225</xdr:colOff>
          <xdr:row>1</xdr:row>
          <xdr:rowOff>171450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361950</xdr:colOff>
      <xdr:row>52</xdr:row>
      <xdr:rowOff>133349</xdr:rowOff>
    </xdr:from>
    <xdr:to>
      <xdr:col>15</xdr:col>
      <xdr:colOff>35467</xdr:colOff>
      <xdr:row>75</xdr:row>
      <xdr:rowOff>160866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90900" y="9467849"/>
          <a:ext cx="7845967" cy="4409017"/>
        </a:xfrm>
        <a:prstGeom prst="rect">
          <a:avLst/>
        </a:prstGeom>
      </xdr:spPr>
    </xdr:pic>
    <xdr:clientData/>
  </xdr:twoCellAnchor>
  <xdr:twoCellAnchor editAs="oneCell">
    <xdr:from>
      <xdr:col>24</xdr:col>
      <xdr:colOff>561975</xdr:colOff>
      <xdr:row>52</xdr:row>
      <xdr:rowOff>104881</xdr:rowOff>
    </xdr:from>
    <xdr:to>
      <xdr:col>37</xdr:col>
      <xdr:colOff>312842</xdr:colOff>
      <xdr:row>76</xdr:row>
      <xdr:rowOff>94374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06625" y="9439381"/>
          <a:ext cx="7732817" cy="4561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0</xdr:row>
          <xdr:rowOff>47625</xdr:rowOff>
        </xdr:from>
        <xdr:to>
          <xdr:col>0</xdr:col>
          <xdr:colOff>1409700</xdr:colOff>
          <xdr:row>1</xdr:row>
          <xdr:rowOff>161925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171450</xdr:rowOff>
        </xdr:from>
        <xdr:to>
          <xdr:col>2</xdr:col>
          <xdr:colOff>533400</xdr:colOff>
          <xdr:row>2</xdr:row>
          <xdr:rowOff>95250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361950</xdr:colOff>
      <xdr:row>62</xdr:row>
      <xdr:rowOff>133349</xdr:rowOff>
    </xdr:from>
    <xdr:to>
      <xdr:col>21</xdr:col>
      <xdr:colOff>125274</xdr:colOff>
      <xdr:row>85</xdr:row>
      <xdr:rowOff>160866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48200" y="9496424"/>
          <a:ext cx="7845967" cy="4409017"/>
        </a:xfrm>
        <a:prstGeom prst="rect">
          <a:avLst/>
        </a:prstGeom>
      </xdr:spPr>
    </xdr:pic>
    <xdr:clientData/>
  </xdr:twoCellAnchor>
  <xdr:twoCellAnchor editAs="oneCell">
    <xdr:from>
      <xdr:col>22</xdr:col>
      <xdr:colOff>533400</xdr:colOff>
      <xdr:row>62</xdr:row>
      <xdr:rowOff>171556</xdr:rowOff>
    </xdr:from>
    <xdr:to>
      <xdr:col>35</xdr:col>
      <xdr:colOff>99210</xdr:colOff>
      <xdr:row>86</xdr:row>
      <xdr:rowOff>161049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582275" y="9725131"/>
          <a:ext cx="7732817" cy="4561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2</xdr:row>
          <xdr:rowOff>133350</xdr:rowOff>
        </xdr:from>
        <xdr:to>
          <xdr:col>2</xdr:col>
          <xdr:colOff>419100</xdr:colOff>
          <xdr:row>2</xdr:row>
          <xdr:rowOff>438150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361950</xdr:colOff>
      <xdr:row>53</xdr:row>
      <xdr:rowOff>104774</xdr:rowOff>
    </xdr:from>
    <xdr:to>
      <xdr:col>14</xdr:col>
      <xdr:colOff>254542</xdr:colOff>
      <xdr:row>76</xdr:row>
      <xdr:rowOff>132291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4900" y="10201274"/>
          <a:ext cx="7845967" cy="4409017"/>
        </a:xfrm>
        <a:prstGeom prst="rect">
          <a:avLst/>
        </a:prstGeom>
      </xdr:spPr>
    </xdr:pic>
    <xdr:clientData/>
  </xdr:twoCellAnchor>
  <xdr:twoCellAnchor editAs="oneCell">
    <xdr:from>
      <xdr:col>24</xdr:col>
      <xdr:colOff>561975</xdr:colOff>
      <xdr:row>50</xdr:row>
      <xdr:rowOff>104881</xdr:rowOff>
    </xdr:from>
    <xdr:to>
      <xdr:col>37</xdr:col>
      <xdr:colOff>312842</xdr:colOff>
      <xdr:row>74</xdr:row>
      <xdr:rowOff>94374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63925" y="9439381"/>
          <a:ext cx="7732817" cy="4561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47625</xdr:rowOff>
        </xdr:from>
        <xdr:to>
          <xdr:col>0</xdr:col>
          <xdr:colOff>1019175</xdr:colOff>
          <xdr:row>1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57150</xdr:rowOff>
        </xdr:from>
        <xdr:to>
          <xdr:col>1</xdr:col>
          <xdr:colOff>952500</xdr:colOff>
          <xdr:row>1</xdr:row>
          <xdr:rowOff>171450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femap dump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7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8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135"/>
  <sheetViews>
    <sheetView zoomScale="70" zoomScaleNormal="70" workbookViewId="0">
      <selection activeCell="B31" sqref="B31"/>
    </sheetView>
  </sheetViews>
  <sheetFormatPr defaultRowHeight="15" x14ac:dyDescent="0.25"/>
  <cols>
    <col min="1" max="1" width="39.140625" customWidth="1"/>
    <col min="2" max="2" width="32.140625" customWidth="1"/>
    <col min="3" max="3" width="11.5703125" customWidth="1"/>
    <col min="4" max="4" width="15.85546875" customWidth="1"/>
    <col min="5" max="5" width="11.140625" customWidth="1"/>
    <col min="6" max="6" width="4" customWidth="1"/>
    <col min="7" max="7" width="6.140625" customWidth="1"/>
    <col min="8" max="8" width="16.7109375" bestFit="1" customWidth="1"/>
    <col min="9" max="9" width="12.140625" hidden="1" customWidth="1"/>
    <col min="10" max="10" width="15.5703125" customWidth="1"/>
    <col min="11" max="11" width="9.42578125" bestFit="1" customWidth="1"/>
    <col min="12" max="12" width="12.7109375" bestFit="1" customWidth="1"/>
    <col min="13" max="13" width="12" bestFit="1" customWidth="1"/>
    <col min="14" max="14" width="15.42578125" customWidth="1"/>
    <col min="15" max="17" width="9.42578125" customWidth="1"/>
    <col min="18" max="18" width="12.5703125" customWidth="1"/>
    <col min="19" max="27" width="9.42578125" customWidth="1"/>
  </cols>
  <sheetData>
    <row r="1" spans="1:27" x14ac:dyDescent="0.25">
      <c r="C1" s="2" t="s">
        <v>24</v>
      </c>
      <c r="H1" s="1">
        <v>8</v>
      </c>
      <c r="I1">
        <v>9</v>
      </c>
      <c r="J1">
        <v>10</v>
      </c>
      <c r="K1">
        <v>11</v>
      </c>
      <c r="L1" s="1">
        <v>12</v>
      </c>
      <c r="M1">
        <v>13</v>
      </c>
      <c r="N1">
        <v>14</v>
      </c>
      <c r="O1">
        <v>15</v>
      </c>
      <c r="P1" s="1">
        <v>16</v>
      </c>
      <c r="Q1">
        <v>17</v>
      </c>
      <c r="R1">
        <v>18</v>
      </c>
      <c r="S1">
        <v>19</v>
      </c>
      <c r="T1" s="1">
        <v>20</v>
      </c>
      <c r="U1">
        <v>21</v>
      </c>
      <c r="V1">
        <v>22</v>
      </c>
      <c r="W1">
        <v>23</v>
      </c>
      <c r="X1" s="1">
        <v>24</v>
      </c>
      <c r="Y1">
        <v>25</v>
      </c>
      <c r="Z1">
        <v>26</v>
      </c>
      <c r="AA1">
        <v>27</v>
      </c>
    </row>
    <row r="2" spans="1:27" x14ac:dyDescent="0.25">
      <c r="C2" s="2" t="s">
        <v>125</v>
      </c>
      <c r="D2" t="s">
        <v>124</v>
      </c>
      <c r="H2" s="3" t="s">
        <v>227</v>
      </c>
      <c r="I2" s="4"/>
      <c r="J2" s="4"/>
      <c r="K2" s="4"/>
      <c r="L2" s="4"/>
      <c r="M2" s="4"/>
      <c r="N2" s="4"/>
      <c r="O2" s="4"/>
      <c r="P2" s="4"/>
      <c r="Q2" s="4"/>
      <c r="R2" s="13"/>
      <c r="S2" s="4"/>
      <c r="T2" s="4"/>
      <c r="U2" s="4"/>
      <c r="V2" s="4"/>
      <c r="W2" s="4"/>
      <c r="X2" s="4"/>
      <c r="Y2" s="5"/>
      <c r="Z2" s="4"/>
      <c r="AA2" s="4"/>
    </row>
    <row r="3" spans="1:27" ht="17.25" customHeight="1" x14ac:dyDescent="0.25">
      <c r="A3" t="s">
        <v>232</v>
      </c>
      <c r="B3" t="s">
        <v>319</v>
      </c>
      <c r="C3" s="1" t="s">
        <v>0</v>
      </c>
      <c r="D3" s="1" t="s">
        <v>1</v>
      </c>
      <c r="E3" s="1" t="s">
        <v>2</v>
      </c>
      <c r="F3" s="1" t="s">
        <v>28</v>
      </c>
      <c r="G3" s="1"/>
      <c r="H3" s="18" t="s">
        <v>346</v>
      </c>
      <c r="I3" s="18" t="s">
        <v>122</v>
      </c>
      <c r="J3" s="18" t="s">
        <v>123</v>
      </c>
      <c r="K3" s="18" t="s">
        <v>3</v>
      </c>
      <c r="L3" s="18" t="s">
        <v>122</v>
      </c>
      <c r="M3" s="18" t="s">
        <v>123</v>
      </c>
      <c r="N3" s="18" t="s">
        <v>59</v>
      </c>
      <c r="O3" s="7" t="s">
        <v>4</v>
      </c>
      <c r="P3" s="7" t="s">
        <v>122</v>
      </c>
      <c r="Q3" s="7" t="s">
        <v>123</v>
      </c>
      <c r="R3" s="14" t="s">
        <v>27</v>
      </c>
      <c r="S3" s="7" t="s">
        <v>122</v>
      </c>
      <c r="T3" s="7" t="s">
        <v>123</v>
      </c>
      <c r="U3" s="7" t="s">
        <v>5</v>
      </c>
      <c r="V3" s="7" t="s">
        <v>122</v>
      </c>
      <c r="W3" s="7" t="s">
        <v>123</v>
      </c>
      <c r="X3" s="7" t="s">
        <v>78</v>
      </c>
      <c r="Y3" s="8" t="s">
        <v>6</v>
      </c>
      <c r="Z3" s="7" t="s">
        <v>122</v>
      </c>
      <c r="AA3" s="7" t="s">
        <v>123</v>
      </c>
    </row>
    <row r="4" spans="1:27" x14ac:dyDescent="0.25">
      <c r="A4" t="s">
        <v>321</v>
      </c>
      <c r="C4">
        <v>322</v>
      </c>
      <c r="D4" t="s">
        <v>8</v>
      </c>
      <c r="E4" t="s">
        <v>9</v>
      </c>
      <c r="F4">
        <v>1</v>
      </c>
      <c r="G4" s="19" t="s">
        <v>228</v>
      </c>
      <c r="H4" s="19">
        <v>0</v>
      </c>
      <c r="I4" s="19">
        <f>RADIANS(H4)</f>
        <v>0</v>
      </c>
      <c r="J4" s="9">
        <f t="shared" ref="J4:J17" si="0">IF(I4&gt;0,$D$51*SIN(I4), $D$51*SIN(-I4))</f>
        <v>0</v>
      </c>
      <c r="K4" s="9">
        <f>IF($G4="pitch",H4-10, H4)</f>
        <v>0</v>
      </c>
      <c r="L4" s="19">
        <f>RADIANS(K4)</f>
        <v>0</v>
      </c>
      <c r="M4" s="9">
        <f t="shared" ref="M4:M17" si="1">IF(L4&gt;0,$D$51*SIN(L4), $D$51*SIN(-L4))</f>
        <v>0</v>
      </c>
      <c r="N4" s="19" t="s">
        <v>172</v>
      </c>
      <c r="O4" s="9">
        <f>IF($G4="pitch",H4+10, H4)</f>
        <v>0</v>
      </c>
      <c r="P4" s="9">
        <f>RADIANS(O4)</f>
        <v>0</v>
      </c>
      <c r="Q4" s="9">
        <f t="shared" ref="Q4:Q17" si="2">IF(P4&gt;0,$D$51*SIN(P4), $D$51*SIN(-P4))</f>
        <v>0</v>
      </c>
      <c r="R4" s="15">
        <v>15</v>
      </c>
      <c r="S4" s="9">
        <f>RADIANS(R4)</f>
        <v>0.26179938779914941</v>
      </c>
      <c r="T4" s="9">
        <f t="shared" ref="T4:T17" si="3">IF(S4&gt;0,$D$51*SIN(S4), $D$51*SIN(-S4))</f>
        <v>5.5560684412158121</v>
      </c>
      <c r="U4" s="9">
        <f>IF($G4="yaw",R4-10, R4)</f>
        <v>5</v>
      </c>
      <c r="V4" s="9">
        <f>RADIANS(U4)</f>
        <v>8.7266462599716474E-2</v>
      </c>
      <c r="W4" s="9">
        <f t="shared" ref="W4:W17" si="4">IF(V4&gt;0,$D$51*SIN(V4), $D$51*SIN(-V4))</f>
        <v>1.8709723295639777</v>
      </c>
      <c r="X4" s="9" t="s">
        <v>79</v>
      </c>
      <c r="Y4" s="9">
        <f>IF($G4="yaw",R4+10, R4)</f>
        <v>25</v>
      </c>
      <c r="Z4" s="9">
        <f>RADIANS(Y4)</f>
        <v>0.43633231299858238</v>
      </c>
      <c r="AA4" s="9">
        <f t="shared" ref="AA4:AA17" si="5">IF(Z4&gt;0,$D$51*SIN(Z4), $D$51*SIN(-Z4))</f>
        <v>9.0723462247875943</v>
      </c>
    </row>
    <row r="5" spans="1:27" x14ac:dyDescent="0.25">
      <c r="A5" t="s">
        <v>322</v>
      </c>
      <c r="C5">
        <v>334</v>
      </c>
      <c r="D5" t="s">
        <v>8</v>
      </c>
      <c r="E5" t="s">
        <v>10</v>
      </c>
      <c r="F5">
        <v>2</v>
      </c>
      <c r="G5" s="19" t="s">
        <v>229</v>
      </c>
      <c r="H5" s="19">
        <v>-12.5</v>
      </c>
      <c r="I5" s="19">
        <f t="shared" ref="I5:I50" si="6">RADIANS(H5)</f>
        <v>-0.21816615649929119</v>
      </c>
      <c r="J5" s="9">
        <f t="shared" si="0"/>
        <v>4.6463091924092543</v>
      </c>
      <c r="K5" s="9">
        <f t="shared" ref="K5:K17" si="7">IF($G5="pitch",H5-10, H5)</f>
        <v>-22.5</v>
      </c>
      <c r="L5" s="19">
        <f t="shared" ref="L5:L17" si="8">RADIANS(K5)</f>
        <v>-0.39269908169872414</v>
      </c>
      <c r="M5" s="9">
        <f t="shared" si="1"/>
        <v>8.2150652425813817</v>
      </c>
      <c r="N5" s="19" t="s">
        <v>173</v>
      </c>
      <c r="O5" s="9">
        <f t="shared" ref="O5:O17" si="9">IF($G5="pitch",H5+10, H5)</f>
        <v>-2.5</v>
      </c>
      <c r="P5" s="9">
        <f t="shared" ref="P5:P17" si="10">RADIANS(O5)</f>
        <v>-4.3633231299858237E-2</v>
      </c>
      <c r="Q5" s="9">
        <f t="shared" si="2"/>
        <v>0.93637738857166786</v>
      </c>
      <c r="R5" s="15">
        <v>0</v>
      </c>
      <c r="S5" s="9">
        <f t="shared" ref="S5:S47" si="11">RADIANS(R5)</f>
        <v>0</v>
      </c>
      <c r="T5" s="9">
        <f t="shared" si="3"/>
        <v>0</v>
      </c>
      <c r="U5" s="9">
        <f t="shared" ref="U5:U47" si="12">IF($G5="yaw",R5-10, R5)</f>
        <v>0</v>
      </c>
      <c r="V5" s="9">
        <f t="shared" ref="V5:V47" si="13">RADIANS(U5)</f>
        <v>0</v>
      </c>
      <c r="W5" s="9">
        <f t="shared" si="4"/>
        <v>0</v>
      </c>
      <c r="X5" s="9" t="s">
        <v>81</v>
      </c>
      <c r="Y5" s="9">
        <f t="shared" ref="Y5:Y47" si="14">IF($G5="yaw",R5+10, R5)</f>
        <v>0</v>
      </c>
      <c r="Z5" s="9">
        <f t="shared" ref="Z5:Z47" si="15">RADIANS(Y5)</f>
        <v>0</v>
      </c>
      <c r="AA5" s="9">
        <f t="shared" si="5"/>
        <v>0</v>
      </c>
    </row>
    <row r="6" spans="1:27" x14ac:dyDescent="0.25">
      <c r="A6" t="s">
        <v>323</v>
      </c>
      <c r="C6">
        <v>325</v>
      </c>
      <c r="D6" t="s">
        <v>8</v>
      </c>
      <c r="E6" t="s">
        <v>11</v>
      </c>
      <c r="F6">
        <v>3</v>
      </c>
      <c r="G6" s="19" t="s">
        <v>228</v>
      </c>
      <c r="H6" s="19">
        <v>0</v>
      </c>
      <c r="I6" s="19">
        <f>RADIANS(H6)</f>
        <v>0</v>
      </c>
      <c r="J6" s="9">
        <f t="shared" si="0"/>
        <v>0</v>
      </c>
      <c r="K6" s="9">
        <f t="shared" si="7"/>
        <v>0</v>
      </c>
      <c r="L6" s="19">
        <f t="shared" si="8"/>
        <v>0</v>
      </c>
      <c r="M6" s="9">
        <f t="shared" si="1"/>
        <v>0</v>
      </c>
      <c r="N6" s="19" t="s">
        <v>174</v>
      </c>
      <c r="O6" s="9">
        <f t="shared" si="9"/>
        <v>0</v>
      </c>
      <c r="P6" s="9">
        <f t="shared" si="10"/>
        <v>0</v>
      </c>
      <c r="Q6" s="9">
        <f t="shared" si="2"/>
        <v>0</v>
      </c>
      <c r="R6" s="15">
        <v>0</v>
      </c>
      <c r="S6" s="9">
        <f t="shared" si="11"/>
        <v>0</v>
      </c>
      <c r="T6" s="9">
        <f t="shared" si="3"/>
        <v>0</v>
      </c>
      <c r="U6" s="9">
        <f t="shared" si="12"/>
        <v>-10</v>
      </c>
      <c r="V6" s="9">
        <f t="shared" si="13"/>
        <v>-0.17453292519943295</v>
      </c>
      <c r="W6" s="9">
        <f t="shared" si="4"/>
        <v>3.7277054299759933</v>
      </c>
      <c r="X6" s="11" t="s">
        <v>82</v>
      </c>
      <c r="Y6" s="9">
        <f t="shared" si="14"/>
        <v>10</v>
      </c>
      <c r="Z6" s="9">
        <f t="shared" si="15"/>
        <v>0.17453292519943295</v>
      </c>
      <c r="AA6" s="9">
        <f t="shared" si="5"/>
        <v>3.7277054299759933</v>
      </c>
    </row>
    <row r="7" spans="1:27" x14ac:dyDescent="0.25">
      <c r="A7" t="s">
        <v>324</v>
      </c>
      <c r="C7">
        <v>321</v>
      </c>
      <c r="D7" t="s">
        <v>8</v>
      </c>
      <c r="E7" t="s">
        <v>12</v>
      </c>
      <c r="F7">
        <v>4</v>
      </c>
      <c r="G7" s="19" t="s">
        <v>228</v>
      </c>
      <c r="H7" s="19">
        <v>0</v>
      </c>
      <c r="I7" s="19">
        <f t="shared" si="6"/>
        <v>0</v>
      </c>
      <c r="J7" s="9">
        <f t="shared" si="0"/>
        <v>0</v>
      </c>
      <c r="K7" s="9">
        <f t="shared" si="7"/>
        <v>0</v>
      </c>
      <c r="L7" s="19">
        <f t="shared" si="8"/>
        <v>0</v>
      </c>
      <c r="M7" s="9">
        <f t="shared" si="1"/>
        <v>0</v>
      </c>
      <c r="N7" s="20" t="s">
        <v>175</v>
      </c>
      <c r="O7" s="9">
        <f t="shared" si="9"/>
        <v>0</v>
      </c>
      <c r="P7" s="9">
        <f t="shared" si="10"/>
        <v>0</v>
      </c>
      <c r="Q7" s="9">
        <f t="shared" si="2"/>
        <v>0</v>
      </c>
      <c r="R7" s="15">
        <v>-15</v>
      </c>
      <c r="S7" s="9">
        <f t="shared" si="11"/>
        <v>-0.26179938779914941</v>
      </c>
      <c r="T7" s="9">
        <f t="shared" si="3"/>
        <v>5.5560684412158121</v>
      </c>
      <c r="U7" s="9">
        <f t="shared" si="12"/>
        <v>-25</v>
      </c>
      <c r="V7" s="9">
        <f t="shared" si="13"/>
        <v>-0.43633231299858238</v>
      </c>
      <c r="W7" s="9">
        <f t="shared" si="4"/>
        <v>9.0723462247875943</v>
      </c>
      <c r="X7" s="11" t="s">
        <v>83</v>
      </c>
      <c r="Y7" s="9">
        <f t="shared" si="14"/>
        <v>-5</v>
      </c>
      <c r="Z7" s="9">
        <f t="shared" si="15"/>
        <v>-8.7266462599716474E-2</v>
      </c>
      <c r="AA7" s="9">
        <f t="shared" si="5"/>
        <v>1.8709723295639777</v>
      </c>
    </row>
    <row r="8" spans="1:27" x14ac:dyDescent="0.25">
      <c r="A8" t="s">
        <v>389</v>
      </c>
      <c r="C8">
        <v>344</v>
      </c>
      <c r="D8" t="s">
        <v>8</v>
      </c>
      <c r="E8" t="s">
        <v>13</v>
      </c>
      <c r="F8">
        <v>5</v>
      </c>
      <c r="G8" s="19" t="s">
        <v>228</v>
      </c>
      <c r="H8" s="19">
        <v>0</v>
      </c>
      <c r="I8" s="19">
        <f t="shared" si="6"/>
        <v>0</v>
      </c>
      <c r="J8" s="9">
        <f t="shared" si="0"/>
        <v>0</v>
      </c>
      <c r="K8" s="9">
        <f t="shared" si="7"/>
        <v>0</v>
      </c>
      <c r="L8" s="19">
        <f t="shared" si="8"/>
        <v>0</v>
      </c>
      <c r="M8" s="9">
        <f t="shared" si="1"/>
        <v>0</v>
      </c>
      <c r="N8" s="20" t="s">
        <v>176</v>
      </c>
      <c r="O8" s="9">
        <f t="shared" si="9"/>
        <v>0</v>
      </c>
      <c r="P8" s="9">
        <f t="shared" si="10"/>
        <v>0</v>
      </c>
      <c r="Q8" s="9">
        <f t="shared" si="2"/>
        <v>0</v>
      </c>
      <c r="R8" s="16">
        <v>0</v>
      </c>
      <c r="S8" s="9">
        <f t="shared" si="11"/>
        <v>0</v>
      </c>
      <c r="T8" s="9">
        <f t="shared" si="3"/>
        <v>0</v>
      </c>
      <c r="U8" s="9">
        <f t="shared" si="12"/>
        <v>-10</v>
      </c>
      <c r="V8" s="9">
        <f t="shared" si="13"/>
        <v>-0.17453292519943295</v>
      </c>
      <c r="W8" s="9">
        <f t="shared" si="4"/>
        <v>3.7277054299759933</v>
      </c>
      <c r="X8" s="11" t="s">
        <v>84</v>
      </c>
      <c r="Y8" s="9">
        <f t="shared" si="14"/>
        <v>10</v>
      </c>
      <c r="Z8" s="9">
        <f t="shared" si="15"/>
        <v>0.17453292519943295</v>
      </c>
      <c r="AA8" s="9">
        <f t="shared" si="5"/>
        <v>3.7277054299759933</v>
      </c>
    </row>
    <row r="9" spans="1:27" x14ac:dyDescent="0.25">
      <c r="A9" t="s">
        <v>325</v>
      </c>
      <c r="C9">
        <v>514</v>
      </c>
      <c r="D9" t="s">
        <v>14</v>
      </c>
      <c r="E9" t="s">
        <v>9</v>
      </c>
      <c r="F9">
        <v>6</v>
      </c>
      <c r="G9" s="19" t="s">
        <v>228</v>
      </c>
      <c r="H9" s="19">
        <v>0</v>
      </c>
      <c r="I9" s="19">
        <f t="shared" si="6"/>
        <v>0</v>
      </c>
      <c r="J9" s="9">
        <f t="shared" si="0"/>
        <v>0</v>
      </c>
      <c r="K9" s="9">
        <f t="shared" si="7"/>
        <v>0</v>
      </c>
      <c r="L9" s="19">
        <f t="shared" si="8"/>
        <v>0</v>
      </c>
      <c r="M9" s="9">
        <f t="shared" si="1"/>
        <v>0</v>
      </c>
      <c r="N9" s="20" t="s">
        <v>177</v>
      </c>
      <c r="O9" s="9">
        <f t="shared" si="9"/>
        <v>0</v>
      </c>
      <c r="P9" s="9">
        <f t="shared" si="10"/>
        <v>0</v>
      </c>
      <c r="Q9" s="9">
        <f t="shared" si="2"/>
        <v>0</v>
      </c>
      <c r="R9" s="16">
        <v>15</v>
      </c>
      <c r="S9" s="9">
        <f t="shared" si="11"/>
        <v>0.26179938779914941</v>
      </c>
      <c r="T9" s="9">
        <f t="shared" si="3"/>
        <v>5.5560684412158121</v>
      </c>
      <c r="U9" s="9">
        <f t="shared" si="12"/>
        <v>5</v>
      </c>
      <c r="V9" s="9">
        <f t="shared" si="13"/>
        <v>8.7266462599716474E-2</v>
      </c>
      <c r="W9" s="9">
        <f t="shared" si="4"/>
        <v>1.8709723295639777</v>
      </c>
      <c r="X9" s="11" t="s">
        <v>85</v>
      </c>
      <c r="Y9" s="9">
        <f t="shared" si="14"/>
        <v>25</v>
      </c>
      <c r="Z9" s="9">
        <f t="shared" si="15"/>
        <v>0.43633231299858238</v>
      </c>
      <c r="AA9" s="9">
        <f t="shared" si="5"/>
        <v>9.0723462247875943</v>
      </c>
    </row>
    <row r="10" spans="1:27" x14ac:dyDescent="0.25">
      <c r="A10" t="s">
        <v>326</v>
      </c>
      <c r="C10">
        <v>515</v>
      </c>
      <c r="D10" t="s">
        <v>14</v>
      </c>
      <c r="E10" t="s">
        <v>10</v>
      </c>
      <c r="F10">
        <v>7</v>
      </c>
      <c r="G10" s="19" t="s">
        <v>229</v>
      </c>
      <c r="H10" s="19">
        <v>-12.5</v>
      </c>
      <c r="I10" s="19">
        <f t="shared" si="6"/>
        <v>-0.21816615649929119</v>
      </c>
      <c r="J10" s="9">
        <f t="shared" si="0"/>
        <v>4.6463091924092543</v>
      </c>
      <c r="K10" s="9">
        <f t="shared" si="7"/>
        <v>-22.5</v>
      </c>
      <c r="L10" s="19">
        <f t="shared" si="8"/>
        <v>-0.39269908169872414</v>
      </c>
      <c r="M10" s="9">
        <f t="shared" si="1"/>
        <v>8.2150652425813817</v>
      </c>
      <c r="N10" s="20" t="s">
        <v>170</v>
      </c>
      <c r="O10" s="9">
        <f t="shared" si="9"/>
        <v>-2.5</v>
      </c>
      <c r="P10" s="9">
        <f t="shared" si="10"/>
        <v>-4.3633231299858237E-2</v>
      </c>
      <c r="Q10" s="9">
        <f t="shared" si="2"/>
        <v>0.93637738857166786</v>
      </c>
      <c r="R10" s="16">
        <v>0</v>
      </c>
      <c r="S10" s="9">
        <f t="shared" si="11"/>
        <v>0</v>
      </c>
      <c r="T10" s="9">
        <f t="shared" si="3"/>
        <v>0</v>
      </c>
      <c r="U10" s="9">
        <f t="shared" si="12"/>
        <v>0</v>
      </c>
      <c r="V10" s="9">
        <f t="shared" si="13"/>
        <v>0</v>
      </c>
      <c r="W10" s="9">
        <f t="shared" si="4"/>
        <v>0</v>
      </c>
      <c r="X10" s="11" t="s">
        <v>86</v>
      </c>
      <c r="Y10" s="9">
        <f t="shared" si="14"/>
        <v>0</v>
      </c>
      <c r="Z10" s="9">
        <f t="shared" si="15"/>
        <v>0</v>
      </c>
      <c r="AA10" s="9">
        <f t="shared" si="5"/>
        <v>0</v>
      </c>
    </row>
    <row r="11" spans="1:27" x14ac:dyDescent="0.25">
      <c r="A11" t="s">
        <v>327</v>
      </c>
      <c r="C11">
        <v>534</v>
      </c>
      <c r="D11" t="s">
        <v>14</v>
      </c>
      <c r="E11" t="s">
        <v>11</v>
      </c>
      <c r="F11">
        <v>8</v>
      </c>
      <c r="G11" s="19" t="s">
        <v>228</v>
      </c>
      <c r="H11" s="19">
        <v>0</v>
      </c>
      <c r="I11" s="19">
        <f t="shared" si="6"/>
        <v>0</v>
      </c>
      <c r="J11" s="9">
        <f t="shared" si="0"/>
        <v>0</v>
      </c>
      <c r="K11" s="9">
        <f t="shared" si="7"/>
        <v>0</v>
      </c>
      <c r="L11" s="19">
        <f t="shared" si="8"/>
        <v>0</v>
      </c>
      <c r="M11" s="9">
        <f t="shared" si="1"/>
        <v>0</v>
      </c>
      <c r="N11" s="20" t="s">
        <v>171</v>
      </c>
      <c r="O11" s="9">
        <f t="shared" si="9"/>
        <v>0</v>
      </c>
      <c r="P11" s="9">
        <f t="shared" si="10"/>
        <v>0</v>
      </c>
      <c r="Q11" s="9">
        <f t="shared" si="2"/>
        <v>0</v>
      </c>
      <c r="R11" s="16">
        <v>0</v>
      </c>
      <c r="S11" s="9">
        <f t="shared" si="11"/>
        <v>0</v>
      </c>
      <c r="T11" s="9">
        <f t="shared" si="3"/>
        <v>0</v>
      </c>
      <c r="U11" s="9">
        <f t="shared" si="12"/>
        <v>-10</v>
      </c>
      <c r="V11" s="9">
        <f t="shared" si="13"/>
        <v>-0.17453292519943295</v>
      </c>
      <c r="W11" s="9">
        <f t="shared" si="4"/>
        <v>3.7277054299759933</v>
      </c>
      <c r="X11" s="11" t="s">
        <v>87</v>
      </c>
      <c r="Y11" s="9">
        <f t="shared" si="14"/>
        <v>10</v>
      </c>
      <c r="Z11" s="9">
        <f t="shared" si="15"/>
        <v>0.17453292519943295</v>
      </c>
      <c r="AA11" s="9">
        <f t="shared" si="5"/>
        <v>3.7277054299759933</v>
      </c>
    </row>
    <row r="12" spans="1:27" x14ac:dyDescent="0.25">
      <c r="A12" t="s">
        <v>328</v>
      </c>
      <c r="C12">
        <v>510</v>
      </c>
      <c r="D12" t="s">
        <v>14</v>
      </c>
      <c r="E12" t="s">
        <v>12</v>
      </c>
      <c r="F12">
        <v>9</v>
      </c>
      <c r="G12" s="19" t="s">
        <v>228</v>
      </c>
      <c r="H12" s="19">
        <v>0</v>
      </c>
      <c r="I12" s="19">
        <f t="shared" si="6"/>
        <v>0</v>
      </c>
      <c r="J12" s="9">
        <f t="shared" si="0"/>
        <v>0</v>
      </c>
      <c r="K12" s="9">
        <f t="shared" si="7"/>
        <v>0</v>
      </c>
      <c r="L12" s="19">
        <f t="shared" si="8"/>
        <v>0</v>
      </c>
      <c r="M12" s="9">
        <f t="shared" si="1"/>
        <v>0</v>
      </c>
      <c r="N12" s="20" t="s">
        <v>178</v>
      </c>
      <c r="O12" s="9">
        <f t="shared" si="9"/>
        <v>0</v>
      </c>
      <c r="P12" s="9">
        <f t="shared" si="10"/>
        <v>0</v>
      </c>
      <c r="Q12" s="9">
        <f t="shared" si="2"/>
        <v>0</v>
      </c>
      <c r="R12" s="16">
        <v>-15</v>
      </c>
      <c r="S12" s="9">
        <f t="shared" si="11"/>
        <v>-0.26179938779914941</v>
      </c>
      <c r="T12" s="9">
        <f t="shared" si="3"/>
        <v>5.5560684412158121</v>
      </c>
      <c r="U12" s="9">
        <f t="shared" si="12"/>
        <v>-25</v>
      </c>
      <c r="V12" s="9">
        <f t="shared" si="13"/>
        <v>-0.43633231299858238</v>
      </c>
      <c r="W12" s="9">
        <f t="shared" si="4"/>
        <v>9.0723462247875943</v>
      </c>
      <c r="X12" s="11" t="s">
        <v>88</v>
      </c>
      <c r="Y12" s="9">
        <f t="shared" si="14"/>
        <v>-5</v>
      </c>
      <c r="Z12" s="9">
        <f t="shared" si="15"/>
        <v>-8.7266462599716474E-2</v>
      </c>
      <c r="AA12" s="9">
        <f t="shared" si="5"/>
        <v>1.8709723295639777</v>
      </c>
    </row>
    <row r="13" spans="1:27" x14ac:dyDescent="0.25">
      <c r="A13" t="s">
        <v>390</v>
      </c>
      <c r="C13">
        <v>536</v>
      </c>
      <c r="D13" t="s">
        <v>14</v>
      </c>
      <c r="E13" t="s">
        <v>13</v>
      </c>
      <c r="F13">
        <v>10</v>
      </c>
      <c r="G13" s="19" t="s">
        <v>228</v>
      </c>
      <c r="H13" s="19">
        <v>0</v>
      </c>
      <c r="I13" s="19">
        <f t="shared" si="6"/>
        <v>0</v>
      </c>
      <c r="J13" s="9">
        <f t="shared" si="0"/>
        <v>0</v>
      </c>
      <c r="K13" s="9">
        <f t="shared" si="7"/>
        <v>0</v>
      </c>
      <c r="L13" s="19">
        <f t="shared" si="8"/>
        <v>0</v>
      </c>
      <c r="M13" s="9">
        <f t="shared" si="1"/>
        <v>0</v>
      </c>
      <c r="N13" s="20" t="s">
        <v>179</v>
      </c>
      <c r="O13" s="9">
        <f t="shared" si="9"/>
        <v>0</v>
      </c>
      <c r="P13" s="9">
        <f t="shared" si="10"/>
        <v>0</v>
      </c>
      <c r="Q13" s="9">
        <f t="shared" si="2"/>
        <v>0</v>
      </c>
      <c r="R13" s="16">
        <v>0</v>
      </c>
      <c r="S13" s="9">
        <f t="shared" si="11"/>
        <v>0</v>
      </c>
      <c r="T13" s="9">
        <f t="shared" si="3"/>
        <v>0</v>
      </c>
      <c r="U13" s="9">
        <f t="shared" si="12"/>
        <v>-10</v>
      </c>
      <c r="V13" s="9">
        <f t="shared" si="13"/>
        <v>-0.17453292519943295</v>
      </c>
      <c r="W13" s="9">
        <f t="shared" si="4"/>
        <v>3.7277054299759933</v>
      </c>
      <c r="X13" s="11" t="s">
        <v>89</v>
      </c>
      <c r="Y13" s="9">
        <f t="shared" si="14"/>
        <v>10</v>
      </c>
      <c r="Z13" s="9">
        <f t="shared" si="15"/>
        <v>0.17453292519943295</v>
      </c>
      <c r="AA13" s="9">
        <f t="shared" si="5"/>
        <v>3.7277054299759933</v>
      </c>
    </row>
    <row r="14" spans="1:27" x14ac:dyDescent="0.25">
      <c r="A14" t="s">
        <v>329</v>
      </c>
      <c r="C14">
        <v>1969</v>
      </c>
      <c r="D14" t="s">
        <v>15</v>
      </c>
      <c r="E14" t="s">
        <v>16</v>
      </c>
      <c r="F14">
        <v>11</v>
      </c>
      <c r="G14" s="19" t="s">
        <v>229</v>
      </c>
      <c r="H14" s="19">
        <v>-9</v>
      </c>
      <c r="I14" s="19">
        <f t="shared" si="6"/>
        <v>-0.15707963267948966</v>
      </c>
      <c r="J14" s="9">
        <f t="shared" si="0"/>
        <v>3.3581786610186359</v>
      </c>
      <c r="K14" s="9">
        <f t="shared" si="7"/>
        <v>-19</v>
      </c>
      <c r="L14" s="19">
        <f t="shared" si="8"/>
        <v>-0.33161255787892263</v>
      </c>
      <c r="M14" s="9">
        <f t="shared" si="1"/>
        <v>6.9889715717317822</v>
      </c>
      <c r="N14" s="20" t="s">
        <v>180</v>
      </c>
      <c r="O14" s="9">
        <f t="shared" si="9"/>
        <v>1</v>
      </c>
      <c r="P14" s="9">
        <f t="shared" si="10"/>
        <v>1.7453292519943295E-2</v>
      </c>
      <c r="Q14" s="9">
        <f t="shared" si="2"/>
        <v>0.37465080898916514</v>
      </c>
      <c r="R14" s="16">
        <v>0</v>
      </c>
      <c r="S14" s="9">
        <f t="shared" si="11"/>
        <v>0</v>
      </c>
      <c r="T14" s="9">
        <f t="shared" si="3"/>
        <v>0</v>
      </c>
      <c r="U14" s="9">
        <f t="shared" si="12"/>
        <v>0</v>
      </c>
      <c r="V14" s="9">
        <f t="shared" si="13"/>
        <v>0</v>
      </c>
      <c r="W14" s="9">
        <f t="shared" si="4"/>
        <v>0</v>
      </c>
      <c r="X14" s="11" t="s">
        <v>90</v>
      </c>
      <c r="Y14" s="9">
        <f t="shared" si="14"/>
        <v>0</v>
      </c>
      <c r="Z14" s="9">
        <f t="shared" si="15"/>
        <v>0</v>
      </c>
      <c r="AA14" s="9">
        <f t="shared" si="5"/>
        <v>0</v>
      </c>
    </row>
    <row r="15" spans="1:27" x14ac:dyDescent="0.25">
      <c r="A15" t="s">
        <v>330</v>
      </c>
      <c r="C15">
        <v>1960</v>
      </c>
      <c r="D15" t="s">
        <v>15</v>
      </c>
      <c r="E15" t="s">
        <v>11</v>
      </c>
      <c r="F15">
        <v>12</v>
      </c>
      <c r="G15" s="19" t="s">
        <v>228</v>
      </c>
      <c r="H15" s="19">
        <v>0</v>
      </c>
      <c r="I15" s="19">
        <f t="shared" si="6"/>
        <v>0</v>
      </c>
      <c r="J15" s="9">
        <f t="shared" si="0"/>
        <v>0</v>
      </c>
      <c r="K15" s="9">
        <f t="shared" si="7"/>
        <v>0</v>
      </c>
      <c r="L15" s="19">
        <f t="shared" si="8"/>
        <v>0</v>
      </c>
      <c r="M15" s="9">
        <f t="shared" si="1"/>
        <v>0</v>
      </c>
      <c r="N15" s="20" t="s">
        <v>181</v>
      </c>
      <c r="O15" s="9">
        <f t="shared" si="9"/>
        <v>0</v>
      </c>
      <c r="P15" s="9">
        <f t="shared" si="10"/>
        <v>0</v>
      </c>
      <c r="Q15" s="9">
        <f t="shared" si="2"/>
        <v>0</v>
      </c>
      <c r="R15" s="16">
        <v>0</v>
      </c>
      <c r="S15" s="9">
        <f t="shared" si="11"/>
        <v>0</v>
      </c>
      <c r="T15" s="9">
        <f t="shared" si="3"/>
        <v>0</v>
      </c>
      <c r="U15" s="9">
        <f t="shared" si="12"/>
        <v>-10</v>
      </c>
      <c r="V15" s="9">
        <f t="shared" si="13"/>
        <v>-0.17453292519943295</v>
      </c>
      <c r="W15" s="9">
        <f t="shared" si="4"/>
        <v>3.7277054299759933</v>
      </c>
      <c r="X15" s="11" t="s">
        <v>91</v>
      </c>
      <c r="Y15" s="9">
        <f t="shared" si="14"/>
        <v>10</v>
      </c>
      <c r="Z15" s="9">
        <f t="shared" si="15"/>
        <v>0.17453292519943295</v>
      </c>
      <c r="AA15" s="9">
        <f t="shared" si="5"/>
        <v>3.7277054299759933</v>
      </c>
    </row>
    <row r="16" spans="1:27" x14ac:dyDescent="0.25">
      <c r="A16" t="s">
        <v>331</v>
      </c>
      <c r="C16">
        <v>2431</v>
      </c>
      <c r="D16" t="s">
        <v>15</v>
      </c>
      <c r="E16" t="s">
        <v>350</v>
      </c>
      <c r="F16">
        <v>13</v>
      </c>
      <c r="G16" s="19" t="s">
        <v>229</v>
      </c>
      <c r="H16" s="19">
        <v>-0.5</v>
      </c>
      <c r="I16" s="19">
        <f t="shared" si="6"/>
        <v>-8.7266462599716477E-3</v>
      </c>
      <c r="J16" s="9">
        <f t="shared" si="0"/>
        <v>0.18733253754359325</v>
      </c>
      <c r="K16" s="9">
        <f t="shared" si="7"/>
        <v>-10.5</v>
      </c>
      <c r="L16" s="19">
        <f t="shared" si="8"/>
        <v>-0.18325957145940461</v>
      </c>
      <c r="M16" s="9">
        <f t="shared" si="1"/>
        <v>3.9120500257399295</v>
      </c>
      <c r="N16" s="20" t="s">
        <v>182</v>
      </c>
      <c r="O16" s="9">
        <f t="shared" si="9"/>
        <v>9.5</v>
      </c>
      <c r="P16" s="9">
        <f t="shared" si="10"/>
        <v>0.16580627893946132</v>
      </c>
      <c r="Q16" s="9">
        <f t="shared" si="2"/>
        <v>3.5430769550111672</v>
      </c>
      <c r="R16" s="16">
        <v>0</v>
      </c>
      <c r="S16" s="9">
        <f t="shared" si="11"/>
        <v>0</v>
      </c>
      <c r="T16" s="9">
        <f t="shared" si="3"/>
        <v>0</v>
      </c>
      <c r="U16" s="9">
        <f t="shared" si="12"/>
        <v>0</v>
      </c>
      <c r="V16" s="9">
        <f t="shared" si="13"/>
        <v>0</v>
      </c>
      <c r="W16" s="9">
        <f t="shared" si="4"/>
        <v>0</v>
      </c>
      <c r="X16" s="11" t="s">
        <v>92</v>
      </c>
      <c r="Y16" s="9">
        <f t="shared" si="14"/>
        <v>0</v>
      </c>
      <c r="Z16" s="9">
        <f t="shared" si="15"/>
        <v>0</v>
      </c>
      <c r="AA16" s="9">
        <f t="shared" si="5"/>
        <v>0</v>
      </c>
    </row>
    <row r="17" spans="1:27" x14ac:dyDescent="0.25">
      <c r="A17" t="s">
        <v>391</v>
      </c>
      <c r="C17">
        <v>1966</v>
      </c>
      <c r="D17" t="s">
        <v>15</v>
      </c>
      <c r="E17" t="s">
        <v>351</v>
      </c>
      <c r="F17">
        <v>14</v>
      </c>
      <c r="G17" s="19" t="s">
        <v>229</v>
      </c>
      <c r="H17" s="19">
        <v>-0.5</v>
      </c>
      <c r="I17" s="19">
        <f t="shared" si="6"/>
        <v>-8.7266462599716477E-3</v>
      </c>
      <c r="J17" s="9">
        <f t="shared" si="0"/>
        <v>0.18733253754359325</v>
      </c>
      <c r="K17" s="9">
        <f t="shared" si="7"/>
        <v>-10.5</v>
      </c>
      <c r="L17" s="19">
        <f t="shared" si="8"/>
        <v>-0.18325957145940461</v>
      </c>
      <c r="M17" s="9">
        <f t="shared" si="1"/>
        <v>3.9120500257399295</v>
      </c>
      <c r="N17" s="20" t="s">
        <v>183</v>
      </c>
      <c r="O17" s="9">
        <f t="shared" si="9"/>
        <v>9.5</v>
      </c>
      <c r="P17" s="9">
        <f t="shared" si="10"/>
        <v>0.16580627893946132</v>
      </c>
      <c r="Q17" s="9">
        <f t="shared" si="2"/>
        <v>3.5430769550111672</v>
      </c>
      <c r="R17" s="16">
        <v>0</v>
      </c>
      <c r="S17" s="9">
        <f t="shared" si="11"/>
        <v>0</v>
      </c>
      <c r="T17" s="9">
        <f t="shared" si="3"/>
        <v>0</v>
      </c>
      <c r="U17" s="9">
        <f t="shared" si="12"/>
        <v>0</v>
      </c>
      <c r="V17" s="9">
        <f t="shared" si="13"/>
        <v>0</v>
      </c>
      <c r="W17" s="9">
        <f t="shared" si="4"/>
        <v>0</v>
      </c>
      <c r="X17" s="11" t="s">
        <v>93</v>
      </c>
      <c r="Y17" s="9">
        <f t="shared" si="14"/>
        <v>0</v>
      </c>
      <c r="Z17" s="9">
        <f t="shared" si="15"/>
        <v>0</v>
      </c>
      <c r="AA17" s="9">
        <f t="shared" si="5"/>
        <v>0</v>
      </c>
    </row>
    <row r="18" spans="1:27" x14ac:dyDescent="0.25">
      <c r="A18" t="s">
        <v>354</v>
      </c>
      <c r="C18">
        <v>1961</v>
      </c>
      <c r="D18" t="s">
        <v>15</v>
      </c>
      <c r="E18" t="s">
        <v>13</v>
      </c>
      <c r="F18">
        <v>15</v>
      </c>
      <c r="G18" s="19" t="s">
        <v>228</v>
      </c>
      <c r="H18" s="25">
        <v>0</v>
      </c>
      <c r="I18" s="19"/>
      <c r="J18" s="9">
        <f t="shared" ref="J18:J50" si="16">IF(I18&gt;0,$D$51*SIN(I18), $D$51*SIN(-I18))</f>
        <v>0</v>
      </c>
      <c r="K18" s="9">
        <f t="shared" ref="K18:K50" si="17">IF($G18="pitch",H18-10, H18)</f>
        <v>0</v>
      </c>
      <c r="L18" s="19">
        <f t="shared" ref="L18:L50" si="18">RADIANS(K18)</f>
        <v>0</v>
      </c>
      <c r="M18" s="9">
        <f t="shared" ref="M18:M50" si="19">IF(L18&gt;0,$D$51*SIN(L18), $D$51*SIN(-L18))</f>
        <v>0</v>
      </c>
      <c r="N18" s="20" t="s">
        <v>183</v>
      </c>
      <c r="O18" s="9">
        <f t="shared" ref="O18:O50" si="20">IF($G18="pitch",H18+10, H18)</f>
        <v>0</v>
      </c>
      <c r="P18" s="9">
        <f t="shared" ref="P18:P50" si="21">RADIANS(O18)</f>
        <v>0</v>
      </c>
      <c r="Q18" s="9">
        <f t="shared" ref="Q18:Q50" si="22">IF(P18&gt;0,$D$51*SIN(P18), $D$51*SIN(-P18))</f>
        <v>0</v>
      </c>
      <c r="R18" s="16"/>
      <c r="S18" s="9"/>
      <c r="T18" s="9"/>
      <c r="U18" s="9"/>
      <c r="V18" s="9"/>
      <c r="W18" s="9"/>
      <c r="X18" s="11"/>
      <c r="Y18" s="9"/>
      <c r="Z18" s="9"/>
      <c r="AA18" s="9"/>
    </row>
    <row r="19" spans="1:27" x14ac:dyDescent="0.25">
      <c r="A19" t="s">
        <v>392</v>
      </c>
      <c r="C19">
        <v>2411</v>
      </c>
      <c r="D19" t="s">
        <v>15</v>
      </c>
      <c r="E19" t="s">
        <v>21</v>
      </c>
      <c r="F19">
        <v>16</v>
      </c>
      <c r="G19" s="19" t="s">
        <v>229</v>
      </c>
      <c r="H19" s="19">
        <v>-0.5</v>
      </c>
      <c r="I19" s="19">
        <f t="shared" si="6"/>
        <v>-8.7266462599716477E-3</v>
      </c>
      <c r="J19" s="9">
        <f t="shared" si="16"/>
        <v>0.18733253754359325</v>
      </c>
      <c r="K19" s="9">
        <f t="shared" si="17"/>
        <v>-10.5</v>
      </c>
      <c r="L19" s="19">
        <f t="shared" si="18"/>
        <v>-0.18325957145940461</v>
      </c>
      <c r="M19" s="9">
        <f t="shared" si="19"/>
        <v>3.9120500257399295</v>
      </c>
      <c r="N19" s="20" t="s">
        <v>183</v>
      </c>
      <c r="O19" s="9">
        <f t="shared" si="20"/>
        <v>9.5</v>
      </c>
      <c r="P19" s="9">
        <f t="shared" si="21"/>
        <v>0.16580627893946132</v>
      </c>
      <c r="Q19" s="9">
        <f t="shared" si="22"/>
        <v>3.5430769550111672</v>
      </c>
      <c r="R19" s="16">
        <v>10</v>
      </c>
      <c r="S19" s="9">
        <f t="shared" si="11"/>
        <v>0.17453292519943295</v>
      </c>
      <c r="T19" s="9">
        <f t="shared" ref="T19:T47" si="23">IF(S19&gt;0,$D$51*SIN(S19), $D$51*SIN(-S19))</f>
        <v>3.7277054299759933</v>
      </c>
      <c r="U19" s="9">
        <f t="shared" si="12"/>
        <v>10</v>
      </c>
      <c r="V19" s="9">
        <f t="shared" si="13"/>
        <v>0.17453292519943295</v>
      </c>
      <c r="W19" s="9">
        <f t="shared" ref="W19:W47" si="24">IF(V19&gt;0,$D$51*SIN(V19), $D$51*SIN(-V19))</f>
        <v>3.7277054299759933</v>
      </c>
      <c r="X19" s="11" t="s">
        <v>94</v>
      </c>
      <c r="Y19" s="9">
        <f t="shared" si="14"/>
        <v>10</v>
      </c>
      <c r="Z19" s="9">
        <f t="shared" si="15"/>
        <v>0.17453292519943295</v>
      </c>
      <c r="AA19" s="9">
        <f t="shared" ref="AA19:AA47" si="25">IF(Z19&gt;0,$D$51*SIN(Z19), $D$51*SIN(-Z19))</f>
        <v>3.7277054299759933</v>
      </c>
    </row>
    <row r="20" spans="1:27" x14ac:dyDescent="0.25">
      <c r="A20" t="s">
        <v>340</v>
      </c>
      <c r="C20">
        <v>2024</v>
      </c>
      <c r="D20" t="s">
        <v>17</v>
      </c>
      <c r="E20" t="s">
        <v>16</v>
      </c>
      <c r="F20">
        <v>17</v>
      </c>
      <c r="G20" s="19" t="s">
        <v>228</v>
      </c>
      <c r="H20" s="19">
        <v>0</v>
      </c>
      <c r="I20" s="19">
        <f t="shared" si="6"/>
        <v>0</v>
      </c>
      <c r="J20" s="9">
        <f t="shared" si="16"/>
        <v>0</v>
      </c>
      <c r="K20" s="9">
        <f t="shared" si="17"/>
        <v>0</v>
      </c>
      <c r="L20" s="19">
        <f t="shared" si="18"/>
        <v>0</v>
      </c>
      <c r="M20" s="9">
        <f t="shared" si="19"/>
        <v>0</v>
      </c>
      <c r="N20" s="20" t="s">
        <v>183</v>
      </c>
      <c r="O20" s="9">
        <f t="shared" si="20"/>
        <v>0</v>
      </c>
      <c r="P20" s="9">
        <f t="shared" si="21"/>
        <v>0</v>
      </c>
      <c r="Q20" s="9">
        <f t="shared" si="22"/>
        <v>0</v>
      </c>
      <c r="R20" s="16">
        <v>0</v>
      </c>
      <c r="S20" s="9">
        <f t="shared" si="11"/>
        <v>0</v>
      </c>
      <c r="T20" s="9">
        <f t="shared" si="23"/>
        <v>0</v>
      </c>
      <c r="U20" s="9">
        <f t="shared" si="12"/>
        <v>-10</v>
      </c>
      <c r="V20" s="9">
        <f t="shared" si="13"/>
        <v>-0.17453292519943295</v>
      </c>
      <c r="W20" s="9">
        <f t="shared" si="24"/>
        <v>3.7277054299759933</v>
      </c>
      <c r="X20" s="11" t="s">
        <v>95</v>
      </c>
      <c r="Y20" s="9">
        <f t="shared" si="14"/>
        <v>10</v>
      </c>
      <c r="Z20" s="9">
        <f t="shared" si="15"/>
        <v>0.17453292519943295</v>
      </c>
      <c r="AA20" s="9">
        <f t="shared" si="25"/>
        <v>3.7277054299759933</v>
      </c>
    </row>
    <row r="21" spans="1:27" x14ac:dyDescent="0.25">
      <c r="A21" t="s">
        <v>333</v>
      </c>
      <c r="C21">
        <v>2014</v>
      </c>
      <c r="D21" t="s">
        <v>17</v>
      </c>
      <c r="E21" t="s">
        <v>11</v>
      </c>
      <c r="F21">
        <v>18</v>
      </c>
      <c r="G21" s="19" t="s">
        <v>228</v>
      </c>
      <c r="H21" s="19">
        <v>0</v>
      </c>
      <c r="I21" s="19">
        <f t="shared" si="6"/>
        <v>0</v>
      </c>
      <c r="J21" s="9">
        <f t="shared" si="16"/>
        <v>0</v>
      </c>
      <c r="K21" s="9">
        <f t="shared" si="17"/>
        <v>0</v>
      </c>
      <c r="L21" s="19">
        <f t="shared" si="18"/>
        <v>0</v>
      </c>
      <c r="M21" s="9">
        <f t="shared" si="19"/>
        <v>0</v>
      </c>
      <c r="N21" s="20" t="s">
        <v>183</v>
      </c>
      <c r="O21" s="9">
        <f t="shared" si="20"/>
        <v>0</v>
      </c>
      <c r="P21" s="9">
        <f t="shared" si="21"/>
        <v>0</v>
      </c>
      <c r="Q21" s="9">
        <f t="shared" si="22"/>
        <v>0</v>
      </c>
      <c r="R21" s="16">
        <v>0</v>
      </c>
      <c r="S21" s="9">
        <f t="shared" si="11"/>
        <v>0</v>
      </c>
      <c r="T21" s="9">
        <f t="shared" si="23"/>
        <v>0</v>
      </c>
      <c r="U21" s="9">
        <f t="shared" si="12"/>
        <v>-10</v>
      </c>
      <c r="V21" s="9">
        <f t="shared" si="13"/>
        <v>-0.17453292519943295</v>
      </c>
      <c r="W21" s="9">
        <f t="shared" si="24"/>
        <v>3.7277054299759933</v>
      </c>
      <c r="X21" s="11" t="s">
        <v>96</v>
      </c>
      <c r="Y21" s="9">
        <f t="shared" si="14"/>
        <v>10</v>
      </c>
      <c r="Z21" s="9">
        <f t="shared" si="15"/>
        <v>0.17453292519943295</v>
      </c>
      <c r="AA21" s="9">
        <f t="shared" si="25"/>
        <v>3.7277054299759933</v>
      </c>
    </row>
    <row r="22" spans="1:27" x14ac:dyDescent="0.25">
      <c r="A22" t="s">
        <v>311</v>
      </c>
      <c r="C22">
        <v>2027</v>
      </c>
      <c r="D22" t="s">
        <v>17</v>
      </c>
      <c r="E22" t="s">
        <v>13</v>
      </c>
      <c r="F22">
        <v>19</v>
      </c>
      <c r="G22" s="19" t="s">
        <v>228</v>
      </c>
      <c r="H22" s="19">
        <v>0</v>
      </c>
      <c r="I22" s="19">
        <f t="shared" si="6"/>
        <v>0</v>
      </c>
      <c r="J22" s="9">
        <f t="shared" si="16"/>
        <v>0</v>
      </c>
      <c r="K22" s="9">
        <f t="shared" si="17"/>
        <v>0</v>
      </c>
      <c r="L22" s="19">
        <f t="shared" si="18"/>
        <v>0</v>
      </c>
      <c r="M22" s="9">
        <f t="shared" si="19"/>
        <v>0</v>
      </c>
      <c r="N22" s="20" t="s">
        <v>183</v>
      </c>
      <c r="O22" s="9">
        <f t="shared" si="20"/>
        <v>0</v>
      </c>
      <c r="P22" s="9">
        <f t="shared" si="21"/>
        <v>0</v>
      </c>
      <c r="Q22" s="9">
        <f t="shared" si="22"/>
        <v>0</v>
      </c>
      <c r="R22" s="16">
        <v>-10</v>
      </c>
      <c r="S22" s="9">
        <f t="shared" si="11"/>
        <v>-0.17453292519943295</v>
      </c>
      <c r="T22" s="9">
        <f t="shared" si="23"/>
        <v>3.7277054299759933</v>
      </c>
      <c r="U22" s="9">
        <f t="shared" si="12"/>
        <v>-20</v>
      </c>
      <c r="V22" s="9">
        <f t="shared" si="13"/>
        <v>-0.3490658503988659</v>
      </c>
      <c r="W22" s="9">
        <f t="shared" si="24"/>
        <v>7.3421464167721302</v>
      </c>
      <c r="X22" s="11" t="s">
        <v>97</v>
      </c>
      <c r="Y22" s="9">
        <f t="shared" si="14"/>
        <v>0</v>
      </c>
      <c r="Z22" s="9">
        <f t="shared" si="15"/>
        <v>0</v>
      </c>
      <c r="AA22" s="9">
        <f t="shared" si="25"/>
        <v>0</v>
      </c>
    </row>
    <row r="23" spans="1:27" x14ac:dyDescent="0.25">
      <c r="A23" t="s">
        <v>332</v>
      </c>
      <c r="C23">
        <v>2080</v>
      </c>
      <c r="D23" t="s">
        <v>18</v>
      </c>
      <c r="E23" t="s">
        <v>16</v>
      </c>
      <c r="F23">
        <v>20</v>
      </c>
      <c r="G23" s="19" t="s">
        <v>228</v>
      </c>
      <c r="H23" s="19">
        <v>0</v>
      </c>
      <c r="I23" s="19">
        <f t="shared" si="6"/>
        <v>0</v>
      </c>
      <c r="J23" s="9">
        <f t="shared" si="16"/>
        <v>0</v>
      </c>
      <c r="K23" s="9">
        <f t="shared" si="17"/>
        <v>0</v>
      </c>
      <c r="L23" s="19">
        <f t="shared" si="18"/>
        <v>0</v>
      </c>
      <c r="M23" s="9">
        <f t="shared" si="19"/>
        <v>0</v>
      </c>
      <c r="N23" s="20" t="s">
        <v>183</v>
      </c>
      <c r="O23" s="9">
        <f t="shared" si="20"/>
        <v>0</v>
      </c>
      <c r="P23" s="9">
        <f t="shared" si="21"/>
        <v>0</v>
      </c>
      <c r="Q23" s="9">
        <f t="shared" si="22"/>
        <v>0</v>
      </c>
      <c r="R23" s="16">
        <v>0</v>
      </c>
      <c r="S23" s="9">
        <f t="shared" si="11"/>
        <v>0</v>
      </c>
      <c r="T23" s="9">
        <f t="shared" si="23"/>
        <v>0</v>
      </c>
      <c r="U23" s="9">
        <f t="shared" si="12"/>
        <v>-10</v>
      </c>
      <c r="V23" s="9">
        <f t="shared" si="13"/>
        <v>-0.17453292519943295</v>
      </c>
      <c r="W23" s="9">
        <f t="shared" si="24"/>
        <v>3.7277054299759933</v>
      </c>
      <c r="X23" s="11" t="s">
        <v>98</v>
      </c>
      <c r="Y23" s="9">
        <f t="shared" si="14"/>
        <v>10</v>
      </c>
      <c r="Z23" s="9">
        <f t="shared" si="15"/>
        <v>0.17453292519943295</v>
      </c>
      <c r="AA23" s="9">
        <f t="shared" si="25"/>
        <v>3.7277054299759933</v>
      </c>
    </row>
    <row r="24" spans="1:27" x14ac:dyDescent="0.25">
      <c r="A24" t="s">
        <v>341</v>
      </c>
      <c r="C24">
        <v>2418</v>
      </c>
      <c r="D24" t="s">
        <v>18</v>
      </c>
      <c r="E24" t="s">
        <v>13</v>
      </c>
      <c r="F24">
        <v>21</v>
      </c>
      <c r="G24" s="19" t="s">
        <v>228</v>
      </c>
      <c r="H24" s="19">
        <v>0</v>
      </c>
      <c r="I24" s="19">
        <f t="shared" si="6"/>
        <v>0</v>
      </c>
      <c r="J24" s="9">
        <f t="shared" si="16"/>
        <v>0</v>
      </c>
      <c r="K24" s="9">
        <f t="shared" si="17"/>
        <v>0</v>
      </c>
      <c r="L24" s="19">
        <f t="shared" si="18"/>
        <v>0</v>
      </c>
      <c r="M24" s="9">
        <f t="shared" si="19"/>
        <v>0</v>
      </c>
      <c r="N24" s="20" t="s">
        <v>183</v>
      </c>
      <c r="O24" s="9">
        <f t="shared" si="20"/>
        <v>0</v>
      </c>
      <c r="P24" s="9">
        <f t="shared" si="21"/>
        <v>0</v>
      </c>
      <c r="Q24" s="9">
        <f t="shared" si="22"/>
        <v>0</v>
      </c>
      <c r="R24" s="16">
        <v>0</v>
      </c>
      <c r="S24" s="9">
        <f t="shared" si="11"/>
        <v>0</v>
      </c>
      <c r="T24" s="9">
        <f t="shared" si="23"/>
        <v>0</v>
      </c>
      <c r="U24" s="9">
        <f t="shared" si="12"/>
        <v>-10</v>
      </c>
      <c r="V24" s="9">
        <f t="shared" si="13"/>
        <v>-0.17453292519943295</v>
      </c>
      <c r="W24" s="9">
        <f t="shared" si="24"/>
        <v>3.7277054299759933</v>
      </c>
      <c r="X24" s="11" t="s">
        <v>99</v>
      </c>
      <c r="Y24" s="9">
        <f t="shared" si="14"/>
        <v>10</v>
      </c>
      <c r="Z24" s="9">
        <f t="shared" si="15"/>
        <v>0.17453292519943295</v>
      </c>
      <c r="AA24" s="9">
        <f t="shared" si="25"/>
        <v>3.7277054299759933</v>
      </c>
    </row>
    <row r="25" spans="1:27" x14ac:dyDescent="0.25">
      <c r="A25" t="s">
        <v>362</v>
      </c>
      <c r="C25">
        <v>2093</v>
      </c>
      <c r="D25" t="s">
        <v>18</v>
      </c>
      <c r="E25" t="s">
        <v>11</v>
      </c>
      <c r="F25">
        <v>22</v>
      </c>
      <c r="G25" s="19" t="s">
        <v>228</v>
      </c>
      <c r="H25" s="19">
        <v>0</v>
      </c>
      <c r="I25" s="19">
        <f t="shared" si="6"/>
        <v>0</v>
      </c>
      <c r="J25" s="9">
        <f t="shared" si="16"/>
        <v>0</v>
      </c>
      <c r="K25" s="9">
        <f t="shared" si="17"/>
        <v>0</v>
      </c>
      <c r="L25" s="19">
        <f t="shared" si="18"/>
        <v>0</v>
      </c>
      <c r="M25" s="9">
        <f t="shared" si="19"/>
        <v>0</v>
      </c>
      <c r="N25" s="20" t="s">
        <v>183</v>
      </c>
      <c r="O25" s="9">
        <f t="shared" si="20"/>
        <v>0</v>
      </c>
      <c r="P25" s="9">
        <f t="shared" si="21"/>
        <v>0</v>
      </c>
      <c r="Q25" s="9">
        <f t="shared" si="22"/>
        <v>0</v>
      </c>
      <c r="R25" s="16">
        <v>0</v>
      </c>
      <c r="S25" s="9">
        <f t="shared" si="11"/>
        <v>0</v>
      </c>
      <c r="T25" s="9">
        <f t="shared" si="23"/>
        <v>0</v>
      </c>
      <c r="U25" s="9">
        <f t="shared" si="12"/>
        <v>-10</v>
      </c>
      <c r="V25" s="9">
        <f t="shared" si="13"/>
        <v>-0.17453292519943295</v>
      </c>
      <c r="W25" s="9">
        <f t="shared" si="24"/>
        <v>3.7277054299759933</v>
      </c>
      <c r="X25" s="11" t="s">
        <v>100</v>
      </c>
      <c r="Y25" s="9">
        <f t="shared" si="14"/>
        <v>10</v>
      </c>
      <c r="Z25" s="9">
        <f t="shared" si="15"/>
        <v>0.17453292519943295</v>
      </c>
      <c r="AA25" s="9">
        <f t="shared" si="25"/>
        <v>3.7277054299759933</v>
      </c>
    </row>
    <row r="26" spans="1:27" x14ac:dyDescent="0.25">
      <c r="A26" t="s">
        <v>393</v>
      </c>
      <c r="C26">
        <v>2233</v>
      </c>
      <c r="D26" t="s">
        <v>19</v>
      </c>
      <c r="E26" t="s">
        <v>20</v>
      </c>
      <c r="F26">
        <v>23</v>
      </c>
      <c r="G26" s="19" t="s">
        <v>229</v>
      </c>
      <c r="H26" s="19">
        <v>-7</v>
      </c>
      <c r="I26" s="19">
        <f t="shared" si="6"/>
        <v>-0.12217304763960307</v>
      </c>
      <c r="J26" s="9">
        <f t="shared" si="16"/>
        <v>2.6161691948783008</v>
      </c>
      <c r="K26" s="9">
        <f t="shared" si="17"/>
        <v>-17</v>
      </c>
      <c r="L26" s="19">
        <f t="shared" si="18"/>
        <v>-0.29670597283903605</v>
      </c>
      <c r="M26" s="9">
        <f t="shared" si="19"/>
        <v>6.2763433852829902</v>
      </c>
      <c r="N26" s="20" t="s">
        <v>183</v>
      </c>
      <c r="O26" s="9">
        <f t="shared" si="20"/>
        <v>3</v>
      </c>
      <c r="P26" s="9">
        <f t="shared" si="21"/>
        <v>5.235987755982989E-2</v>
      </c>
      <c r="Q26" s="9">
        <f t="shared" si="22"/>
        <v>1.1234959726672753</v>
      </c>
      <c r="R26" s="24">
        <v>0</v>
      </c>
      <c r="S26" s="9">
        <f t="shared" si="11"/>
        <v>0</v>
      </c>
      <c r="T26" s="9">
        <f t="shared" si="23"/>
        <v>0</v>
      </c>
      <c r="U26" s="9">
        <f t="shared" si="12"/>
        <v>0</v>
      </c>
      <c r="V26" s="9">
        <f t="shared" si="13"/>
        <v>0</v>
      </c>
      <c r="W26" s="9">
        <f t="shared" si="24"/>
        <v>0</v>
      </c>
      <c r="X26" s="11" t="s">
        <v>101</v>
      </c>
      <c r="Y26" s="9">
        <f t="shared" si="14"/>
        <v>0</v>
      </c>
      <c r="Z26" s="9">
        <f t="shared" si="15"/>
        <v>0</v>
      </c>
      <c r="AA26" s="9">
        <f t="shared" si="25"/>
        <v>0</v>
      </c>
    </row>
    <row r="27" spans="1:27" x14ac:dyDescent="0.25">
      <c r="A27" t="s">
        <v>394</v>
      </c>
      <c r="C27">
        <v>2224</v>
      </c>
      <c r="D27" t="s">
        <v>19</v>
      </c>
      <c r="E27" t="s">
        <v>21</v>
      </c>
      <c r="F27">
        <v>24</v>
      </c>
      <c r="G27" s="19" t="s">
        <v>229</v>
      </c>
      <c r="H27" s="19">
        <v>-7</v>
      </c>
      <c r="I27" s="19">
        <f t="shared" si="6"/>
        <v>-0.12217304763960307</v>
      </c>
      <c r="J27" s="9">
        <f t="shared" si="16"/>
        <v>2.6161691948783008</v>
      </c>
      <c r="K27" s="9">
        <f t="shared" si="17"/>
        <v>-17</v>
      </c>
      <c r="L27" s="19">
        <f t="shared" si="18"/>
        <v>-0.29670597283903605</v>
      </c>
      <c r="M27" s="9">
        <f t="shared" si="19"/>
        <v>6.2763433852829902</v>
      </c>
      <c r="N27" s="20" t="s">
        <v>183</v>
      </c>
      <c r="O27" s="9">
        <f t="shared" si="20"/>
        <v>3</v>
      </c>
      <c r="P27" s="9">
        <f t="shared" si="21"/>
        <v>5.235987755982989E-2</v>
      </c>
      <c r="Q27" s="9">
        <f t="shared" si="22"/>
        <v>1.1234959726672753</v>
      </c>
      <c r="R27" s="24">
        <v>0</v>
      </c>
      <c r="S27" s="9">
        <f t="shared" si="11"/>
        <v>0</v>
      </c>
      <c r="T27" s="9">
        <f t="shared" si="23"/>
        <v>0</v>
      </c>
      <c r="U27" s="9">
        <f t="shared" si="12"/>
        <v>0</v>
      </c>
      <c r="V27" s="9">
        <f t="shared" si="13"/>
        <v>0</v>
      </c>
      <c r="W27" s="9">
        <f t="shared" si="24"/>
        <v>0</v>
      </c>
      <c r="X27" s="11" t="s">
        <v>102</v>
      </c>
      <c r="Y27" s="9">
        <f t="shared" si="14"/>
        <v>0</v>
      </c>
      <c r="Z27" s="9">
        <f t="shared" si="15"/>
        <v>0</v>
      </c>
      <c r="AA27" s="9">
        <f t="shared" si="25"/>
        <v>0</v>
      </c>
    </row>
    <row r="28" spans="1:27" x14ac:dyDescent="0.25">
      <c r="A28" t="s">
        <v>395</v>
      </c>
      <c r="C28">
        <v>2229</v>
      </c>
      <c r="D28" t="s">
        <v>19</v>
      </c>
      <c r="E28" t="s">
        <v>16</v>
      </c>
      <c r="F28">
        <v>25</v>
      </c>
      <c r="G28" s="19" t="s">
        <v>229</v>
      </c>
      <c r="H28" s="22">
        <v>3</v>
      </c>
      <c r="I28" s="19">
        <f t="shared" si="6"/>
        <v>5.235987755982989E-2</v>
      </c>
      <c r="J28" s="9">
        <f t="shared" si="16"/>
        <v>1.1234959726672753</v>
      </c>
      <c r="K28" s="9">
        <f t="shared" si="17"/>
        <v>-7</v>
      </c>
      <c r="L28" s="19">
        <f t="shared" si="18"/>
        <v>-0.12217304763960307</v>
      </c>
      <c r="M28" s="9">
        <f t="shared" si="19"/>
        <v>2.6161691948783008</v>
      </c>
      <c r="N28" s="20" t="s">
        <v>183</v>
      </c>
      <c r="O28" s="9">
        <f t="shared" si="20"/>
        <v>13</v>
      </c>
      <c r="P28" s="9">
        <f t="shared" si="21"/>
        <v>0.22689280275926285</v>
      </c>
      <c r="Q28" s="9">
        <f t="shared" si="22"/>
        <v>4.8290242835997494</v>
      </c>
      <c r="R28" s="24">
        <v>13.5</v>
      </c>
      <c r="S28" s="9">
        <f t="shared" si="11"/>
        <v>0.23561944901923448</v>
      </c>
      <c r="T28" s="9">
        <f t="shared" si="23"/>
        <v>5.0113716258947205</v>
      </c>
      <c r="U28" s="9">
        <f t="shared" si="12"/>
        <v>13.5</v>
      </c>
      <c r="V28" s="9">
        <f t="shared" si="13"/>
        <v>0.23561944901923448</v>
      </c>
      <c r="W28" s="9">
        <f t="shared" si="24"/>
        <v>5.0113716258947205</v>
      </c>
      <c r="X28" s="11" t="s">
        <v>103</v>
      </c>
      <c r="Y28" s="9">
        <f t="shared" si="14"/>
        <v>13.5</v>
      </c>
      <c r="Z28" s="9">
        <f t="shared" si="15"/>
        <v>0.23561944901923448</v>
      </c>
      <c r="AA28" s="9">
        <f t="shared" si="25"/>
        <v>5.0113716258947205</v>
      </c>
    </row>
    <row r="29" spans="1:27" x14ac:dyDescent="0.25">
      <c r="A29" t="s">
        <v>396</v>
      </c>
      <c r="C29">
        <v>2130</v>
      </c>
      <c r="D29" t="s">
        <v>22</v>
      </c>
      <c r="E29" t="s">
        <v>11</v>
      </c>
      <c r="F29">
        <v>26</v>
      </c>
      <c r="G29" s="19" t="s">
        <v>228</v>
      </c>
      <c r="H29" s="22">
        <v>0</v>
      </c>
      <c r="I29" s="19">
        <f t="shared" si="6"/>
        <v>0</v>
      </c>
      <c r="J29" s="9">
        <f t="shared" si="16"/>
        <v>0</v>
      </c>
      <c r="K29" s="9">
        <f t="shared" si="17"/>
        <v>0</v>
      </c>
      <c r="L29" s="19">
        <f t="shared" si="18"/>
        <v>0</v>
      </c>
      <c r="M29" s="9">
        <f t="shared" si="19"/>
        <v>0</v>
      </c>
      <c r="N29" s="20" t="s">
        <v>183</v>
      </c>
      <c r="O29" s="9">
        <f t="shared" si="20"/>
        <v>0</v>
      </c>
      <c r="P29" s="9">
        <f t="shared" si="21"/>
        <v>0</v>
      </c>
      <c r="Q29" s="9">
        <f t="shared" si="22"/>
        <v>0</v>
      </c>
      <c r="R29" s="24">
        <v>0</v>
      </c>
      <c r="S29" s="9">
        <f t="shared" si="11"/>
        <v>0</v>
      </c>
      <c r="T29" s="9">
        <f t="shared" si="23"/>
        <v>0</v>
      </c>
      <c r="U29" s="9">
        <f t="shared" si="12"/>
        <v>-10</v>
      </c>
      <c r="V29" s="9">
        <f t="shared" si="13"/>
        <v>-0.17453292519943295</v>
      </c>
      <c r="W29" s="9">
        <f t="shared" si="24"/>
        <v>3.7277054299759933</v>
      </c>
      <c r="X29" s="11" t="s">
        <v>104</v>
      </c>
      <c r="Y29" s="9">
        <f t="shared" si="14"/>
        <v>10</v>
      </c>
      <c r="Z29" s="9">
        <f t="shared" si="15"/>
        <v>0.17453292519943295</v>
      </c>
      <c r="AA29" s="9">
        <f t="shared" si="25"/>
        <v>3.7277054299759933</v>
      </c>
    </row>
    <row r="30" spans="1:27" x14ac:dyDescent="0.25">
      <c r="A30" t="s">
        <v>342</v>
      </c>
      <c r="C30">
        <v>2128</v>
      </c>
      <c r="D30" t="s">
        <v>22</v>
      </c>
      <c r="E30" t="s">
        <v>13</v>
      </c>
      <c r="F30">
        <v>27</v>
      </c>
      <c r="G30" s="19" t="s">
        <v>228</v>
      </c>
      <c r="H30" s="22">
        <v>0</v>
      </c>
      <c r="I30" s="19">
        <f t="shared" si="6"/>
        <v>0</v>
      </c>
      <c r="J30" s="9">
        <f t="shared" si="16"/>
        <v>0</v>
      </c>
      <c r="K30" s="9">
        <f t="shared" si="17"/>
        <v>0</v>
      </c>
      <c r="L30" s="19">
        <f t="shared" si="18"/>
        <v>0</v>
      </c>
      <c r="M30" s="9">
        <f t="shared" si="19"/>
        <v>0</v>
      </c>
      <c r="N30" s="20" t="s">
        <v>183</v>
      </c>
      <c r="O30" s="9">
        <f t="shared" si="20"/>
        <v>0</v>
      </c>
      <c r="P30" s="9">
        <f t="shared" si="21"/>
        <v>0</v>
      </c>
      <c r="Q30" s="9">
        <f t="shared" si="22"/>
        <v>0</v>
      </c>
      <c r="R30" s="24">
        <v>-13.5</v>
      </c>
      <c r="S30" s="9">
        <f t="shared" si="11"/>
        <v>-0.23561944901923448</v>
      </c>
      <c r="T30" s="9">
        <f t="shared" si="23"/>
        <v>5.0113716258947205</v>
      </c>
      <c r="U30" s="9">
        <f t="shared" si="12"/>
        <v>-23.5</v>
      </c>
      <c r="V30" s="9">
        <f t="shared" si="13"/>
        <v>-0.41015237421866746</v>
      </c>
      <c r="W30" s="9">
        <f t="shared" si="24"/>
        <v>8.5599462626182596</v>
      </c>
      <c r="X30" s="11" t="s">
        <v>105</v>
      </c>
      <c r="Y30" s="9">
        <f t="shared" si="14"/>
        <v>-3.5</v>
      </c>
      <c r="Z30" s="9">
        <f t="shared" si="15"/>
        <v>-6.1086523819801536E-2</v>
      </c>
      <c r="AA30" s="9">
        <f t="shared" si="25"/>
        <v>1.3105289981947723</v>
      </c>
    </row>
    <row r="31" spans="1:27" x14ac:dyDescent="0.25">
      <c r="A31" t="s">
        <v>343</v>
      </c>
      <c r="C31">
        <v>2175</v>
      </c>
      <c r="D31" t="s">
        <v>23</v>
      </c>
      <c r="E31" t="s">
        <v>13</v>
      </c>
      <c r="F31">
        <v>28</v>
      </c>
      <c r="G31" s="19" t="s">
        <v>228</v>
      </c>
      <c r="H31" s="22">
        <v>0</v>
      </c>
      <c r="I31" s="19">
        <f t="shared" si="6"/>
        <v>0</v>
      </c>
      <c r="J31" s="9">
        <f t="shared" si="16"/>
        <v>0</v>
      </c>
      <c r="K31" s="9">
        <f t="shared" si="17"/>
        <v>0</v>
      </c>
      <c r="L31" s="19">
        <f t="shared" si="18"/>
        <v>0</v>
      </c>
      <c r="M31" s="9">
        <f t="shared" si="19"/>
        <v>0</v>
      </c>
      <c r="N31" s="20" t="s">
        <v>183</v>
      </c>
      <c r="O31" s="9">
        <f t="shared" si="20"/>
        <v>0</v>
      </c>
      <c r="P31" s="9">
        <f t="shared" si="21"/>
        <v>0</v>
      </c>
      <c r="Q31" s="9">
        <f t="shared" si="22"/>
        <v>0</v>
      </c>
      <c r="R31" s="24">
        <v>0</v>
      </c>
      <c r="S31" s="9">
        <f t="shared" si="11"/>
        <v>0</v>
      </c>
      <c r="T31" s="9">
        <f t="shared" si="23"/>
        <v>0</v>
      </c>
      <c r="U31" s="9">
        <f t="shared" si="12"/>
        <v>-10</v>
      </c>
      <c r="V31" s="9">
        <f t="shared" si="13"/>
        <v>-0.17453292519943295</v>
      </c>
      <c r="W31" s="9">
        <f t="shared" si="24"/>
        <v>3.7277054299759933</v>
      </c>
      <c r="X31" s="11" t="s">
        <v>106</v>
      </c>
      <c r="Y31" s="9">
        <f t="shared" si="14"/>
        <v>10</v>
      </c>
      <c r="Z31" s="9">
        <f t="shared" si="15"/>
        <v>0.17453292519943295</v>
      </c>
      <c r="AA31" s="9">
        <f t="shared" si="25"/>
        <v>3.7277054299759933</v>
      </c>
    </row>
    <row r="32" spans="1:27" x14ac:dyDescent="0.25">
      <c r="A32" t="s">
        <v>370</v>
      </c>
      <c r="C32">
        <v>2171</v>
      </c>
      <c r="D32" t="s">
        <v>23</v>
      </c>
      <c r="E32" t="s">
        <v>11</v>
      </c>
      <c r="F32">
        <v>29</v>
      </c>
      <c r="G32" s="19" t="s">
        <v>228</v>
      </c>
      <c r="H32" s="19">
        <v>0</v>
      </c>
      <c r="I32" s="19">
        <f t="shared" si="6"/>
        <v>0</v>
      </c>
      <c r="J32" s="9">
        <f t="shared" si="16"/>
        <v>0</v>
      </c>
      <c r="K32" s="9">
        <f t="shared" si="17"/>
        <v>0</v>
      </c>
      <c r="L32" s="19">
        <f t="shared" si="18"/>
        <v>0</v>
      </c>
      <c r="M32" s="9">
        <f t="shared" si="19"/>
        <v>0</v>
      </c>
      <c r="N32" s="20" t="s">
        <v>183</v>
      </c>
      <c r="O32" s="9">
        <f t="shared" si="20"/>
        <v>0</v>
      </c>
      <c r="P32" s="9">
        <f t="shared" si="21"/>
        <v>0</v>
      </c>
      <c r="Q32" s="9">
        <f t="shared" si="22"/>
        <v>0</v>
      </c>
      <c r="R32" s="24">
        <v>0</v>
      </c>
      <c r="S32" s="9">
        <f t="shared" si="11"/>
        <v>0</v>
      </c>
      <c r="T32" s="9">
        <f t="shared" si="23"/>
        <v>0</v>
      </c>
      <c r="U32" s="9">
        <f t="shared" si="12"/>
        <v>-10</v>
      </c>
      <c r="V32" s="9">
        <f t="shared" si="13"/>
        <v>-0.17453292519943295</v>
      </c>
      <c r="W32" s="9">
        <f t="shared" si="24"/>
        <v>3.7277054299759933</v>
      </c>
      <c r="X32" s="11" t="s">
        <v>107</v>
      </c>
      <c r="Y32" s="9">
        <f t="shared" si="14"/>
        <v>10</v>
      </c>
      <c r="Z32" s="9">
        <f t="shared" si="15"/>
        <v>0.17453292519943295</v>
      </c>
      <c r="AA32" s="9">
        <f t="shared" si="25"/>
        <v>3.7277054299759933</v>
      </c>
    </row>
    <row r="33" spans="1:27" x14ac:dyDescent="0.25">
      <c r="A33" t="s">
        <v>397</v>
      </c>
      <c r="C33">
        <v>1021</v>
      </c>
      <c r="D33" t="s">
        <v>29</v>
      </c>
      <c r="E33" t="s">
        <v>16</v>
      </c>
      <c r="F33">
        <v>30</v>
      </c>
      <c r="G33" s="19" t="s">
        <v>229</v>
      </c>
      <c r="H33" s="19">
        <v>3</v>
      </c>
      <c r="I33" s="19">
        <f t="shared" si="6"/>
        <v>5.235987755982989E-2</v>
      </c>
      <c r="J33" s="9">
        <f t="shared" si="16"/>
        <v>1.1234959726672753</v>
      </c>
      <c r="K33" s="9">
        <f t="shared" si="17"/>
        <v>-7</v>
      </c>
      <c r="L33" s="19">
        <f t="shared" si="18"/>
        <v>-0.12217304763960307</v>
      </c>
      <c r="M33" s="9">
        <f t="shared" si="19"/>
        <v>2.6161691948783008</v>
      </c>
      <c r="N33" s="20" t="s">
        <v>183</v>
      </c>
      <c r="O33" s="9">
        <f t="shared" si="20"/>
        <v>13</v>
      </c>
      <c r="P33" s="9">
        <f t="shared" si="21"/>
        <v>0.22689280275926285</v>
      </c>
      <c r="Q33" s="9">
        <f t="shared" si="22"/>
        <v>4.8290242835997494</v>
      </c>
      <c r="R33" s="24">
        <v>0</v>
      </c>
      <c r="S33" s="9">
        <f t="shared" si="11"/>
        <v>0</v>
      </c>
      <c r="T33" s="9">
        <f t="shared" si="23"/>
        <v>0</v>
      </c>
      <c r="U33" s="9">
        <f t="shared" si="12"/>
        <v>0</v>
      </c>
      <c r="V33" s="9">
        <f t="shared" si="13"/>
        <v>0</v>
      </c>
      <c r="W33" s="9">
        <f t="shared" si="24"/>
        <v>0</v>
      </c>
      <c r="X33" s="11" t="s">
        <v>108</v>
      </c>
      <c r="Y33" s="9">
        <f t="shared" si="14"/>
        <v>0</v>
      </c>
      <c r="Z33" s="9">
        <f t="shared" si="15"/>
        <v>0</v>
      </c>
      <c r="AA33" s="9">
        <f t="shared" si="25"/>
        <v>0</v>
      </c>
    </row>
    <row r="34" spans="1:27" x14ac:dyDescent="0.25">
      <c r="A34" t="s">
        <v>398</v>
      </c>
      <c r="C34">
        <v>1072</v>
      </c>
      <c r="D34" t="s">
        <v>29</v>
      </c>
      <c r="E34" t="s">
        <v>21</v>
      </c>
      <c r="F34">
        <v>31</v>
      </c>
      <c r="G34" s="19" t="s">
        <v>229</v>
      </c>
      <c r="H34" s="19">
        <v>-7.8</v>
      </c>
      <c r="I34" s="19">
        <f t="shared" si="6"/>
        <v>-0.1361356816555577</v>
      </c>
      <c r="J34" s="9">
        <f t="shared" si="16"/>
        <v>2.9134061934472117</v>
      </c>
      <c r="K34" s="9">
        <f t="shared" si="17"/>
        <v>-17.8</v>
      </c>
      <c r="L34" s="19">
        <f t="shared" si="18"/>
        <v>-0.31066860685499065</v>
      </c>
      <c r="M34" s="9">
        <f t="shared" si="19"/>
        <v>6.5623611116429883</v>
      </c>
      <c r="N34" s="20" t="s">
        <v>183</v>
      </c>
      <c r="O34" s="9">
        <f t="shared" si="20"/>
        <v>2.2000000000000002</v>
      </c>
      <c r="P34" s="9">
        <f t="shared" si="21"/>
        <v>3.8397243543875255E-2</v>
      </c>
      <c r="Q34" s="9">
        <f t="shared" si="22"/>
        <v>0.82407109768179065</v>
      </c>
      <c r="R34" s="24">
        <v>0</v>
      </c>
      <c r="S34" s="9">
        <f t="shared" si="11"/>
        <v>0</v>
      </c>
      <c r="T34" s="9">
        <f t="shared" si="23"/>
        <v>0</v>
      </c>
      <c r="U34" s="9">
        <f t="shared" si="12"/>
        <v>0</v>
      </c>
      <c r="V34" s="9">
        <f t="shared" si="13"/>
        <v>0</v>
      </c>
      <c r="W34" s="9">
        <f t="shared" si="24"/>
        <v>0</v>
      </c>
      <c r="X34" s="11" t="s">
        <v>109</v>
      </c>
      <c r="Y34" s="9">
        <f t="shared" si="14"/>
        <v>0</v>
      </c>
      <c r="Z34" s="9">
        <f t="shared" si="15"/>
        <v>0</v>
      </c>
      <c r="AA34" s="9">
        <f t="shared" si="25"/>
        <v>0</v>
      </c>
    </row>
    <row r="35" spans="1:27" x14ac:dyDescent="0.25">
      <c r="A35" t="s">
        <v>399</v>
      </c>
      <c r="C35">
        <v>1176</v>
      </c>
      <c r="D35" t="s">
        <v>30</v>
      </c>
      <c r="E35" t="s">
        <v>20</v>
      </c>
      <c r="F35">
        <v>32</v>
      </c>
      <c r="G35" s="19" t="s">
        <v>229</v>
      </c>
      <c r="H35" s="20">
        <v>-4.8</v>
      </c>
      <c r="I35" s="19">
        <f t="shared" si="6"/>
        <v>-8.377580409572781E-2</v>
      </c>
      <c r="J35" s="9">
        <f t="shared" si="16"/>
        <v>1.7963122628148163</v>
      </c>
      <c r="K35" s="9">
        <f t="shared" si="17"/>
        <v>-14.8</v>
      </c>
      <c r="L35" s="19">
        <f t="shared" si="18"/>
        <v>-0.2583087292951608</v>
      </c>
      <c r="M35" s="9">
        <f t="shared" si="19"/>
        <v>5.4836540856076157</v>
      </c>
      <c r="N35" s="20" t="s">
        <v>183</v>
      </c>
      <c r="O35" s="9">
        <f t="shared" si="20"/>
        <v>5.2</v>
      </c>
      <c r="P35" s="9">
        <f t="shared" si="21"/>
        <v>9.0757121103705138E-2</v>
      </c>
      <c r="Q35" s="9">
        <f t="shared" si="22"/>
        <v>1.9456095991057465</v>
      </c>
      <c r="R35" s="16">
        <v>0</v>
      </c>
      <c r="S35" s="9">
        <f t="shared" si="11"/>
        <v>0</v>
      </c>
      <c r="T35" s="9">
        <f t="shared" si="23"/>
        <v>0</v>
      </c>
      <c r="U35" s="9">
        <f t="shared" si="12"/>
        <v>0</v>
      </c>
      <c r="V35" s="9">
        <f t="shared" si="13"/>
        <v>0</v>
      </c>
      <c r="W35" s="9">
        <f t="shared" si="24"/>
        <v>0</v>
      </c>
      <c r="X35" s="11" t="s">
        <v>110</v>
      </c>
      <c r="Y35" s="9">
        <f t="shared" si="14"/>
        <v>0</v>
      </c>
      <c r="Z35" s="9">
        <f t="shared" si="15"/>
        <v>0</v>
      </c>
      <c r="AA35" s="9">
        <f t="shared" si="25"/>
        <v>0</v>
      </c>
    </row>
    <row r="36" spans="1:27" x14ac:dyDescent="0.25">
      <c r="A36" t="s">
        <v>388</v>
      </c>
      <c r="C36">
        <v>1175</v>
      </c>
      <c r="D36" t="s">
        <v>30</v>
      </c>
      <c r="E36" t="s">
        <v>16</v>
      </c>
      <c r="F36">
        <v>33</v>
      </c>
      <c r="G36" s="19" t="s">
        <v>229</v>
      </c>
      <c r="H36" s="20">
        <v>1.5</v>
      </c>
      <c r="I36" s="19">
        <f t="shared" si="6"/>
        <v>2.6179938779914945E-2</v>
      </c>
      <c r="J36" s="9">
        <f t="shared" si="16"/>
        <v>0.56194054932511295</v>
      </c>
      <c r="K36" s="9">
        <f t="shared" si="17"/>
        <v>-8.5</v>
      </c>
      <c r="L36" s="19">
        <f t="shared" si="18"/>
        <v>-0.14835298641951802</v>
      </c>
      <c r="M36" s="9">
        <f t="shared" si="19"/>
        <v>3.1730246287193511</v>
      </c>
      <c r="N36" s="20" t="s">
        <v>183</v>
      </c>
      <c r="O36" s="9">
        <f t="shared" si="20"/>
        <v>11.5</v>
      </c>
      <c r="P36" s="9">
        <f t="shared" si="21"/>
        <v>0.2007128639793479</v>
      </c>
      <c r="Q36" s="9">
        <f t="shared" si="22"/>
        <v>4.2798314481339714</v>
      </c>
      <c r="R36" s="16">
        <v>0</v>
      </c>
      <c r="S36" s="9">
        <f t="shared" si="11"/>
        <v>0</v>
      </c>
      <c r="T36" s="9">
        <f t="shared" si="23"/>
        <v>0</v>
      </c>
      <c r="U36" s="9">
        <f t="shared" si="12"/>
        <v>0</v>
      </c>
      <c r="V36" s="9">
        <f t="shared" si="13"/>
        <v>0</v>
      </c>
      <c r="W36" s="9">
        <f t="shared" si="24"/>
        <v>0</v>
      </c>
      <c r="X36" s="11" t="s">
        <v>111</v>
      </c>
      <c r="Y36" s="9">
        <f t="shared" si="14"/>
        <v>0</v>
      </c>
      <c r="Z36" s="9">
        <f t="shared" si="15"/>
        <v>0</v>
      </c>
      <c r="AA36" s="9">
        <f t="shared" si="25"/>
        <v>0</v>
      </c>
    </row>
    <row r="37" spans="1:27" x14ac:dyDescent="0.25">
      <c r="A37" t="s">
        <v>400</v>
      </c>
      <c r="C37">
        <v>1174</v>
      </c>
      <c r="D37" t="s">
        <v>30</v>
      </c>
      <c r="E37" t="s">
        <v>21</v>
      </c>
      <c r="F37">
        <v>34</v>
      </c>
      <c r="G37" s="19" t="s">
        <v>229</v>
      </c>
      <c r="H37" s="20">
        <v>-3.6</v>
      </c>
      <c r="I37" s="19">
        <f t="shared" si="6"/>
        <v>-6.2831853071795868E-2</v>
      </c>
      <c r="J37" s="9">
        <f t="shared" si="16"/>
        <v>1.3479240827357701</v>
      </c>
      <c r="K37" s="9">
        <f t="shared" si="17"/>
        <v>-13.6</v>
      </c>
      <c r="L37" s="19">
        <f t="shared" si="18"/>
        <v>-0.23736477827122882</v>
      </c>
      <c r="M37" s="9">
        <f t="shared" si="19"/>
        <v>5.0477957419732995</v>
      </c>
      <c r="N37" s="20" t="s">
        <v>183</v>
      </c>
      <c r="O37" s="9">
        <f t="shared" si="20"/>
        <v>6.4</v>
      </c>
      <c r="P37" s="9">
        <f t="shared" si="21"/>
        <v>0.11170107212763709</v>
      </c>
      <c r="Q37" s="9">
        <f t="shared" si="22"/>
        <v>2.3929035676731889</v>
      </c>
      <c r="R37" s="16">
        <v>0</v>
      </c>
      <c r="S37" s="9">
        <f t="shared" si="11"/>
        <v>0</v>
      </c>
      <c r="T37" s="9">
        <f t="shared" si="23"/>
        <v>0</v>
      </c>
      <c r="U37" s="9">
        <f t="shared" si="12"/>
        <v>0</v>
      </c>
      <c r="V37" s="9">
        <f t="shared" si="13"/>
        <v>0</v>
      </c>
      <c r="W37" s="9">
        <f t="shared" si="24"/>
        <v>0</v>
      </c>
      <c r="X37" s="11" t="s">
        <v>112</v>
      </c>
      <c r="Y37" s="9">
        <f t="shared" si="14"/>
        <v>0</v>
      </c>
      <c r="Z37" s="9">
        <f t="shared" si="15"/>
        <v>0</v>
      </c>
      <c r="AA37" s="9">
        <f t="shared" si="25"/>
        <v>0</v>
      </c>
    </row>
    <row r="38" spans="1:27" x14ac:dyDescent="0.25">
      <c r="A38" t="s">
        <v>401</v>
      </c>
      <c r="C38">
        <v>1230</v>
      </c>
      <c r="D38" t="s">
        <v>31</v>
      </c>
      <c r="E38" t="s">
        <v>20</v>
      </c>
      <c r="F38">
        <v>35</v>
      </c>
      <c r="G38" s="19" t="s">
        <v>229</v>
      </c>
      <c r="H38" s="20">
        <v>-0.5</v>
      </c>
      <c r="I38" s="19">
        <f t="shared" si="6"/>
        <v>-8.7266462599716477E-3</v>
      </c>
      <c r="J38" s="9">
        <f t="shared" si="16"/>
        <v>0.18733253754359325</v>
      </c>
      <c r="K38" s="9">
        <f t="shared" si="17"/>
        <v>-10.5</v>
      </c>
      <c r="L38" s="19">
        <f t="shared" si="18"/>
        <v>-0.18325957145940461</v>
      </c>
      <c r="M38" s="9">
        <f t="shared" si="19"/>
        <v>3.9120500257399295</v>
      </c>
      <c r="N38" s="20" t="s">
        <v>183</v>
      </c>
      <c r="O38" s="9">
        <f t="shared" si="20"/>
        <v>9.5</v>
      </c>
      <c r="P38" s="9">
        <f t="shared" si="21"/>
        <v>0.16580627893946132</v>
      </c>
      <c r="Q38" s="9">
        <f t="shared" si="22"/>
        <v>3.5430769550111672</v>
      </c>
      <c r="R38" s="16">
        <v>0</v>
      </c>
      <c r="S38" s="9">
        <f t="shared" si="11"/>
        <v>0</v>
      </c>
      <c r="T38" s="9">
        <f t="shared" si="23"/>
        <v>0</v>
      </c>
      <c r="U38" s="9">
        <f t="shared" si="12"/>
        <v>0</v>
      </c>
      <c r="V38" s="9">
        <f t="shared" si="13"/>
        <v>0</v>
      </c>
      <c r="W38" s="9">
        <f t="shared" si="24"/>
        <v>0</v>
      </c>
      <c r="X38" s="11" t="s">
        <v>113</v>
      </c>
      <c r="Y38" s="9">
        <f t="shared" si="14"/>
        <v>0</v>
      </c>
      <c r="Z38" s="9">
        <f t="shared" si="15"/>
        <v>0</v>
      </c>
      <c r="AA38" s="9">
        <f t="shared" si="25"/>
        <v>0</v>
      </c>
    </row>
    <row r="39" spans="1:27" x14ac:dyDescent="0.25">
      <c r="A39" t="s">
        <v>402</v>
      </c>
      <c r="C39">
        <v>1229</v>
      </c>
      <c r="D39" t="s">
        <v>31</v>
      </c>
      <c r="E39" t="s">
        <v>16</v>
      </c>
      <c r="F39">
        <v>36</v>
      </c>
      <c r="G39" s="19" t="s">
        <v>229</v>
      </c>
      <c r="H39" s="20">
        <v>9.5</v>
      </c>
      <c r="I39" s="19">
        <f t="shared" si="6"/>
        <v>0.16580627893946132</v>
      </c>
      <c r="J39" s="9">
        <f t="shared" si="16"/>
        <v>3.5430769550111672</v>
      </c>
      <c r="K39" s="9">
        <f t="shared" si="17"/>
        <v>-0.5</v>
      </c>
      <c r="L39" s="19">
        <f t="shared" si="18"/>
        <v>-8.7266462599716477E-3</v>
      </c>
      <c r="M39" s="9">
        <f t="shared" si="19"/>
        <v>0.18733253754359325</v>
      </c>
      <c r="N39" s="20" t="s">
        <v>183</v>
      </c>
      <c r="O39" s="9">
        <f t="shared" si="20"/>
        <v>19.5</v>
      </c>
      <c r="P39" s="9">
        <f t="shared" si="21"/>
        <v>0.34033920413889424</v>
      </c>
      <c r="Q39" s="9">
        <f t="shared" si="22"/>
        <v>7.1658318471713596</v>
      </c>
      <c r="R39" s="16">
        <v>0</v>
      </c>
      <c r="S39" s="9">
        <f t="shared" si="11"/>
        <v>0</v>
      </c>
      <c r="T39" s="9">
        <f t="shared" si="23"/>
        <v>0</v>
      </c>
      <c r="U39" s="9">
        <f t="shared" si="12"/>
        <v>0</v>
      </c>
      <c r="V39" s="9">
        <f t="shared" si="13"/>
        <v>0</v>
      </c>
      <c r="W39" s="9">
        <f t="shared" si="24"/>
        <v>0</v>
      </c>
      <c r="X39" s="11" t="s">
        <v>114</v>
      </c>
      <c r="Y39" s="9">
        <f t="shared" si="14"/>
        <v>0</v>
      </c>
      <c r="Z39" s="9">
        <f t="shared" si="15"/>
        <v>0</v>
      </c>
      <c r="AA39" s="9">
        <f t="shared" si="25"/>
        <v>0</v>
      </c>
    </row>
    <row r="40" spans="1:27" x14ac:dyDescent="0.25">
      <c r="A40" t="s">
        <v>403</v>
      </c>
      <c r="C40">
        <v>1228</v>
      </c>
      <c r="D40" t="s">
        <v>31</v>
      </c>
      <c r="E40" t="s">
        <v>21</v>
      </c>
      <c r="F40">
        <v>37</v>
      </c>
      <c r="G40" s="19" t="s">
        <v>229</v>
      </c>
      <c r="H40" s="20">
        <v>-0.6</v>
      </c>
      <c r="I40" s="19">
        <f t="shared" si="6"/>
        <v>-1.0471975511965976E-2</v>
      </c>
      <c r="J40" s="9">
        <f t="shared" si="16"/>
        <v>0.2247977896234484</v>
      </c>
      <c r="K40" s="9">
        <f t="shared" si="17"/>
        <v>-10.6</v>
      </c>
      <c r="L40" s="19">
        <f t="shared" si="18"/>
        <v>-0.18500490071139894</v>
      </c>
      <c r="M40" s="9">
        <f t="shared" si="19"/>
        <v>3.9488836436032635</v>
      </c>
      <c r="N40" s="20" t="s">
        <v>183</v>
      </c>
      <c r="O40" s="9">
        <f t="shared" si="20"/>
        <v>9.4</v>
      </c>
      <c r="P40" s="9">
        <f t="shared" si="21"/>
        <v>0.16406094968746698</v>
      </c>
      <c r="Q40" s="9">
        <f t="shared" si="22"/>
        <v>3.5061184314409051</v>
      </c>
      <c r="R40" s="16">
        <v>0</v>
      </c>
      <c r="S40" s="9">
        <f t="shared" si="11"/>
        <v>0</v>
      </c>
      <c r="T40" s="9">
        <f t="shared" si="23"/>
        <v>0</v>
      </c>
      <c r="U40" s="9">
        <f t="shared" si="12"/>
        <v>0</v>
      </c>
      <c r="V40" s="9">
        <f t="shared" si="13"/>
        <v>0</v>
      </c>
      <c r="W40" s="9">
        <f t="shared" si="24"/>
        <v>0</v>
      </c>
      <c r="X40" s="11" t="s">
        <v>115</v>
      </c>
      <c r="Y40" s="9">
        <f t="shared" si="14"/>
        <v>0</v>
      </c>
      <c r="Z40" s="9">
        <f t="shared" si="15"/>
        <v>0</v>
      </c>
      <c r="AA40" s="9">
        <f t="shared" si="25"/>
        <v>0</v>
      </c>
    </row>
    <row r="41" spans="1:27" x14ac:dyDescent="0.25">
      <c r="A41" t="s">
        <v>344</v>
      </c>
      <c r="C41">
        <v>1323</v>
      </c>
      <c r="D41" t="s">
        <v>32</v>
      </c>
      <c r="E41" t="s">
        <v>11</v>
      </c>
      <c r="F41">
        <v>38</v>
      </c>
      <c r="G41" s="19" t="s">
        <v>228</v>
      </c>
      <c r="H41" s="20">
        <v>0</v>
      </c>
      <c r="I41" s="19">
        <f t="shared" si="6"/>
        <v>0</v>
      </c>
      <c r="J41" s="9">
        <f t="shared" si="16"/>
        <v>0</v>
      </c>
      <c r="K41" s="9">
        <f t="shared" si="17"/>
        <v>0</v>
      </c>
      <c r="L41" s="19">
        <f t="shared" si="18"/>
        <v>0</v>
      </c>
      <c r="M41" s="9">
        <f t="shared" si="19"/>
        <v>0</v>
      </c>
      <c r="N41" s="20" t="s">
        <v>183</v>
      </c>
      <c r="O41" s="9">
        <f t="shared" si="20"/>
        <v>0</v>
      </c>
      <c r="P41" s="9">
        <f t="shared" si="21"/>
        <v>0</v>
      </c>
      <c r="Q41" s="9">
        <f t="shared" si="22"/>
        <v>0</v>
      </c>
      <c r="R41" s="16">
        <v>4</v>
      </c>
      <c r="S41" s="9">
        <f t="shared" si="11"/>
        <v>6.9813170079773182E-2</v>
      </c>
      <c r="T41" s="9">
        <f t="shared" si="23"/>
        <v>1.4974622218651379</v>
      </c>
      <c r="U41" s="9">
        <f t="shared" si="12"/>
        <v>-6</v>
      </c>
      <c r="V41" s="9">
        <f t="shared" si="13"/>
        <v>-0.10471975511965978</v>
      </c>
      <c r="W41" s="9">
        <f t="shared" si="24"/>
        <v>2.2439125209667168</v>
      </c>
      <c r="X41" s="11" t="s">
        <v>80</v>
      </c>
      <c r="Y41" s="9">
        <f t="shared" si="14"/>
        <v>14</v>
      </c>
      <c r="Z41" s="9">
        <f t="shared" si="15"/>
        <v>0.24434609527920614</v>
      </c>
      <c r="AA41" s="9">
        <f t="shared" si="25"/>
        <v>5.193337332838067</v>
      </c>
    </row>
    <row r="42" spans="1:27" x14ac:dyDescent="0.25">
      <c r="A42" t="s">
        <v>404</v>
      </c>
      <c r="C42">
        <v>1327</v>
      </c>
      <c r="D42" t="s">
        <v>32</v>
      </c>
      <c r="E42" t="s">
        <v>16</v>
      </c>
      <c r="F42">
        <v>39</v>
      </c>
      <c r="G42" s="19" t="s">
        <v>228</v>
      </c>
      <c r="H42" s="20">
        <v>0</v>
      </c>
      <c r="I42" s="19">
        <f t="shared" si="6"/>
        <v>0</v>
      </c>
      <c r="J42" s="9">
        <f t="shared" si="16"/>
        <v>0</v>
      </c>
      <c r="K42" s="9">
        <f t="shared" si="17"/>
        <v>0</v>
      </c>
      <c r="L42" s="19">
        <f t="shared" si="18"/>
        <v>0</v>
      </c>
      <c r="M42" s="9">
        <f t="shared" si="19"/>
        <v>0</v>
      </c>
      <c r="N42" s="20" t="s">
        <v>183</v>
      </c>
      <c r="O42" s="9">
        <f t="shared" si="20"/>
        <v>0</v>
      </c>
      <c r="P42" s="9">
        <f t="shared" si="21"/>
        <v>0</v>
      </c>
      <c r="Q42" s="9">
        <f t="shared" si="22"/>
        <v>0</v>
      </c>
      <c r="R42" s="16">
        <v>0</v>
      </c>
      <c r="S42" s="9">
        <f t="shared" si="11"/>
        <v>0</v>
      </c>
      <c r="T42" s="9">
        <f t="shared" si="23"/>
        <v>0</v>
      </c>
      <c r="U42" s="9">
        <f t="shared" si="12"/>
        <v>-10</v>
      </c>
      <c r="V42" s="9">
        <f t="shared" si="13"/>
        <v>-0.17453292519943295</v>
      </c>
      <c r="W42" s="9">
        <f t="shared" si="24"/>
        <v>3.7277054299759933</v>
      </c>
      <c r="X42" s="11" t="s">
        <v>116</v>
      </c>
      <c r="Y42" s="9">
        <f t="shared" si="14"/>
        <v>10</v>
      </c>
      <c r="Z42" s="9">
        <f t="shared" si="15"/>
        <v>0.17453292519943295</v>
      </c>
      <c r="AA42" s="9">
        <f t="shared" si="25"/>
        <v>3.7277054299759933</v>
      </c>
    </row>
    <row r="43" spans="1:27" x14ac:dyDescent="0.25">
      <c r="A43" t="s">
        <v>405</v>
      </c>
      <c r="C43">
        <v>1328</v>
      </c>
      <c r="D43" t="s">
        <v>32</v>
      </c>
      <c r="E43" t="s">
        <v>13</v>
      </c>
      <c r="F43">
        <v>40</v>
      </c>
      <c r="G43" s="19" t="s">
        <v>228</v>
      </c>
      <c r="H43" s="20">
        <v>0</v>
      </c>
      <c r="I43" s="19">
        <f t="shared" si="6"/>
        <v>0</v>
      </c>
      <c r="J43" s="9">
        <f t="shared" si="16"/>
        <v>0</v>
      </c>
      <c r="K43" s="9">
        <f t="shared" si="17"/>
        <v>0</v>
      </c>
      <c r="L43" s="19">
        <f t="shared" si="18"/>
        <v>0</v>
      </c>
      <c r="M43" s="9">
        <f t="shared" si="19"/>
        <v>0</v>
      </c>
      <c r="N43" s="20" t="s">
        <v>183</v>
      </c>
      <c r="O43" s="9">
        <f t="shared" si="20"/>
        <v>0</v>
      </c>
      <c r="P43" s="9">
        <f t="shared" si="21"/>
        <v>0</v>
      </c>
      <c r="Q43" s="9">
        <f t="shared" si="22"/>
        <v>0</v>
      </c>
      <c r="R43" s="16">
        <v>0</v>
      </c>
      <c r="S43" s="9">
        <f t="shared" si="11"/>
        <v>0</v>
      </c>
      <c r="T43" s="9">
        <f t="shared" si="23"/>
        <v>0</v>
      </c>
      <c r="U43" s="9">
        <f t="shared" si="12"/>
        <v>-10</v>
      </c>
      <c r="V43" s="9">
        <f t="shared" si="13"/>
        <v>-0.17453292519943295</v>
      </c>
      <c r="W43" s="9">
        <f t="shared" si="24"/>
        <v>3.7277054299759933</v>
      </c>
      <c r="X43" s="11" t="s">
        <v>117</v>
      </c>
      <c r="Y43" s="9">
        <f t="shared" si="14"/>
        <v>10</v>
      </c>
      <c r="Z43" s="9">
        <f t="shared" si="15"/>
        <v>0.17453292519943295</v>
      </c>
      <c r="AA43" s="9">
        <f t="shared" si="25"/>
        <v>3.7277054299759933</v>
      </c>
    </row>
    <row r="44" spans="1:27" x14ac:dyDescent="0.25">
      <c r="A44" t="s">
        <v>406</v>
      </c>
      <c r="C44">
        <v>1324</v>
      </c>
      <c r="D44" t="s">
        <v>32</v>
      </c>
      <c r="E44" t="s">
        <v>21</v>
      </c>
      <c r="F44">
        <v>41</v>
      </c>
      <c r="G44" s="19" t="s">
        <v>229</v>
      </c>
      <c r="H44" s="20">
        <v>-0.6</v>
      </c>
      <c r="I44" s="19">
        <f t="shared" si="6"/>
        <v>-1.0471975511965976E-2</v>
      </c>
      <c r="J44" s="9">
        <f t="shared" si="16"/>
        <v>0.2247977896234484</v>
      </c>
      <c r="K44" s="9">
        <f t="shared" si="17"/>
        <v>-10.6</v>
      </c>
      <c r="L44" s="19">
        <f t="shared" si="18"/>
        <v>-0.18500490071139894</v>
      </c>
      <c r="M44" s="9">
        <f t="shared" si="19"/>
        <v>3.9488836436032635</v>
      </c>
      <c r="N44" s="20" t="s">
        <v>183</v>
      </c>
      <c r="O44" s="9">
        <f t="shared" si="20"/>
        <v>9.4</v>
      </c>
      <c r="P44" s="9">
        <f t="shared" si="21"/>
        <v>0.16406094968746698</v>
      </c>
      <c r="Q44" s="9">
        <f t="shared" si="22"/>
        <v>3.5061184314409051</v>
      </c>
      <c r="R44" s="16">
        <v>0</v>
      </c>
      <c r="S44" s="9">
        <f t="shared" si="11"/>
        <v>0</v>
      </c>
      <c r="T44" s="9">
        <f t="shared" si="23"/>
        <v>0</v>
      </c>
      <c r="U44" s="9">
        <f t="shared" si="12"/>
        <v>0</v>
      </c>
      <c r="V44" s="9">
        <f t="shared" si="13"/>
        <v>0</v>
      </c>
      <c r="W44" s="9">
        <f t="shared" si="24"/>
        <v>0</v>
      </c>
      <c r="X44" s="11" t="s">
        <v>118</v>
      </c>
      <c r="Y44" s="9">
        <f t="shared" si="14"/>
        <v>0</v>
      </c>
      <c r="Z44" s="9">
        <f t="shared" si="15"/>
        <v>0</v>
      </c>
      <c r="AA44" s="9">
        <f t="shared" si="25"/>
        <v>0</v>
      </c>
    </row>
    <row r="45" spans="1:27" x14ac:dyDescent="0.25">
      <c r="A45" t="s">
        <v>407</v>
      </c>
      <c r="C45">
        <v>636</v>
      </c>
      <c r="D45" t="s">
        <v>33</v>
      </c>
      <c r="E45" t="s">
        <v>13</v>
      </c>
      <c r="F45">
        <v>42</v>
      </c>
      <c r="G45" s="19" t="s">
        <v>228</v>
      </c>
      <c r="H45" s="20">
        <v>0</v>
      </c>
      <c r="I45" s="19">
        <f t="shared" si="6"/>
        <v>0</v>
      </c>
      <c r="J45" s="9">
        <f t="shared" si="16"/>
        <v>0</v>
      </c>
      <c r="K45" s="9">
        <f t="shared" si="17"/>
        <v>0</v>
      </c>
      <c r="L45" s="19">
        <f t="shared" si="18"/>
        <v>0</v>
      </c>
      <c r="M45" s="9">
        <f t="shared" si="19"/>
        <v>0</v>
      </c>
      <c r="N45" s="20" t="s">
        <v>183</v>
      </c>
      <c r="O45" s="9">
        <f t="shared" si="20"/>
        <v>0</v>
      </c>
      <c r="P45" s="9">
        <f t="shared" si="21"/>
        <v>0</v>
      </c>
      <c r="Q45" s="9">
        <f t="shared" si="22"/>
        <v>0</v>
      </c>
      <c r="R45" s="16">
        <v>-4</v>
      </c>
      <c r="S45" s="9">
        <f t="shared" si="11"/>
        <v>-6.9813170079773182E-2</v>
      </c>
      <c r="T45" s="9">
        <f t="shared" si="23"/>
        <v>1.4974622218651379</v>
      </c>
      <c r="U45" s="9">
        <f t="shared" si="12"/>
        <v>-14</v>
      </c>
      <c r="V45" s="9">
        <f t="shared" si="13"/>
        <v>-0.24434609527920614</v>
      </c>
      <c r="W45" s="9">
        <f t="shared" si="24"/>
        <v>5.193337332838067</v>
      </c>
      <c r="X45" s="11" t="s">
        <v>119</v>
      </c>
      <c r="Y45" s="9">
        <f t="shared" si="14"/>
        <v>6</v>
      </c>
      <c r="Z45" s="9">
        <f t="shared" si="15"/>
        <v>0.10471975511965978</v>
      </c>
      <c r="AA45" s="9">
        <f t="shared" si="25"/>
        <v>2.2439125209667168</v>
      </c>
    </row>
    <row r="46" spans="1:27" x14ac:dyDescent="0.25">
      <c r="A46" t="s">
        <v>345</v>
      </c>
      <c r="C46">
        <v>618</v>
      </c>
      <c r="D46" t="s">
        <v>33</v>
      </c>
      <c r="E46" t="s">
        <v>16</v>
      </c>
      <c r="F46">
        <v>43</v>
      </c>
      <c r="G46" s="19" t="s">
        <v>228</v>
      </c>
      <c r="H46" s="20">
        <v>0</v>
      </c>
      <c r="I46" s="19">
        <f t="shared" si="6"/>
        <v>0</v>
      </c>
      <c r="J46" s="9">
        <f t="shared" si="16"/>
        <v>0</v>
      </c>
      <c r="K46" s="9">
        <f t="shared" si="17"/>
        <v>0</v>
      </c>
      <c r="L46" s="19">
        <f t="shared" si="18"/>
        <v>0</v>
      </c>
      <c r="M46" s="9">
        <f t="shared" si="19"/>
        <v>0</v>
      </c>
      <c r="N46" s="20" t="s">
        <v>183</v>
      </c>
      <c r="O46" s="9">
        <f t="shared" si="20"/>
        <v>0</v>
      </c>
      <c r="P46" s="9">
        <f t="shared" si="21"/>
        <v>0</v>
      </c>
      <c r="Q46" s="9">
        <f t="shared" si="22"/>
        <v>0</v>
      </c>
      <c r="R46" s="16">
        <v>0</v>
      </c>
      <c r="S46" s="9">
        <f t="shared" si="11"/>
        <v>0</v>
      </c>
      <c r="T46" s="9">
        <f t="shared" si="23"/>
        <v>0</v>
      </c>
      <c r="U46" s="9">
        <f t="shared" si="12"/>
        <v>-10</v>
      </c>
      <c r="V46" s="9">
        <f t="shared" si="13"/>
        <v>-0.17453292519943295</v>
      </c>
      <c r="W46" s="9">
        <f t="shared" si="24"/>
        <v>3.7277054299759933</v>
      </c>
      <c r="X46" s="11" t="s">
        <v>120</v>
      </c>
      <c r="Y46" s="9">
        <f t="shared" si="14"/>
        <v>10</v>
      </c>
      <c r="Z46" s="9">
        <f t="shared" si="15"/>
        <v>0.17453292519943295</v>
      </c>
      <c r="AA46" s="9">
        <f t="shared" si="25"/>
        <v>3.7277054299759933</v>
      </c>
    </row>
    <row r="47" spans="1:27" x14ac:dyDescent="0.25">
      <c r="A47" t="s">
        <v>383</v>
      </c>
      <c r="C47">
        <v>2425</v>
      </c>
      <c r="D47" t="s">
        <v>33</v>
      </c>
      <c r="E47" t="s">
        <v>11</v>
      </c>
      <c r="F47">
        <v>44</v>
      </c>
      <c r="G47" s="19" t="s">
        <v>228</v>
      </c>
      <c r="H47" s="20">
        <v>0</v>
      </c>
      <c r="I47" s="19">
        <f t="shared" si="6"/>
        <v>0</v>
      </c>
      <c r="J47" s="9">
        <f t="shared" si="16"/>
        <v>0</v>
      </c>
      <c r="K47" s="9">
        <f t="shared" si="17"/>
        <v>0</v>
      </c>
      <c r="L47" s="19">
        <f t="shared" si="18"/>
        <v>0</v>
      </c>
      <c r="M47" s="9">
        <f t="shared" si="19"/>
        <v>0</v>
      </c>
      <c r="N47" s="20" t="s">
        <v>183</v>
      </c>
      <c r="O47" s="9">
        <f t="shared" si="20"/>
        <v>0</v>
      </c>
      <c r="P47" s="9">
        <f t="shared" si="21"/>
        <v>0</v>
      </c>
      <c r="Q47" s="9">
        <f t="shared" si="22"/>
        <v>0</v>
      </c>
      <c r="R47" s="17">
        <v>0</v>
      </c>
      <c r="S47" s="9">
        <f t="shared" si="11"/>
        <v>0</v>
      </c>
      <c r="T47" s="9">
        <f t="shared" si="23"/>
        <v>0</v>
      </c>
      <c r="U47" s="9">
        <f t="shared" si="12"/>
        <v>-10</v>
      </c>
      <c r="V47" s="9">
        <f t="shared" si="13"/>
        <v>-0.17453292519943295</v>
      </c>
      <c r="W47" s="9">
        <f t="shared" si="24"/>
        <v>3.7277054299759933</v>
      </c>
      <c r="X47" s="10" t="s">
        <v>121</v>
      </c>
      <c r="Y47" s="9">
        <f t="shared" si="14"/>
        <v>10</v>
      </c>
      <c r="Z47" s="9">
        <f t="shared" si="15"/>
        <v>0.17453292519943295</v>
      </c>
      <c r="AA47" s="9">
        <f t="shared" si="25"/>
        <v>3.7277054299759933</v>
      </c>
    </row>
    <row r="48" spans="1:27" x14ac:dyDescent="0.25">
      <c r="A48" t="s">
        <v>408</v>
      </c>
      <c r="C48">
        <v>617</v>
      </c>
      <c r="D48" t="s">
        <v>33</v>
      </c>
      <c r="E48" t="s">
        <v>21</v>
      </c>
      <c r="F48">
        <v>45</v>
      </c>
      <c r="G48" s="19" t="s">
        <v>229</v>
      </c>
      <c r="H48" s="26">
        <v>-0.6</v>
      </c>
      <c r="I48" s="26">
        <f t="shared" si="6"/>
        <v>-1.0471975511965976E-2</v>
      </c>
      <c r="J48" s="9">
        <f t="shared" si="16"/>
        <v>0.2247977896234484</v>
      </c>
      <c r="K48" s="9">
        <f t="shared" si="17"/>
        <v>-10.6</v>
      </c>
      <c r="L48" s="19">
        <f t="shared" si="18"/>
        <v>-0.18500490071139894</v>
      </c>
      <c r="M48" s="9">
        <f t="shared" si="19"/>
        <v>3.9488836436032635</v>
      </c>
      <c r="N48" s="20" t="s">
        <v>183</v>
      </c>
      <c r="O48" s="9">
        <f t="shared" si="20"/>
        <v>9.4</v>
      </c>
      <c r="P48" s="9">
        <f t="shared" si="21"/>
        <v>0.16406094968746698</v>
      </c>
      <c r="Q48" s="9">
        <f t="shared" si="22"/>
        <v>3.5061184314409051</v>
      </c>
      <c r="R48" s="11"/>
      <c r="S48" s="9"/>
      <c r="T48" s="9"/>
      <c r="U48" s="9"/>
      <c r="V48" s="9"/>
      <c r="W48" s="9"/>
      <c r="X48" s="9"/>
      <c r="Y48" s="9"/>
      <c r="Z48" s="9"/>
      <c r="AA48" s="9"/>
    </row>
    <row r="49" spans="1:27" x14ac:dyDescent="0.25">
      <c r="A49" t="s">
        <v>409</v>
      </c>
      <c r="C49">
        <v>446</v>
      </c>
      <c r="D49" t="s">
        <v>347</v>
      </c>
      <c r="E49" t="s">
        <v>348</v>
      </c>
      <c r="F49">
        <v>46</v>
      </c>
      <c r="G49" s="19" t="s">
        <v>229</v>
      </c>
      <c r="H49" s="26">
        <v>-9</v>
      </c>
      <c r="I49" s="26">
        <f t="shared" si="6"/>
        <v>-0.15707963267948966</v>
      </c>
      <c r="J49" s="9">
        <f t="shared" si="16"/>
        <v>3.3581786610186359</v>
      </c>
      <c r="K49" s="9">
        <f t="shared" si="17"/>
        <v>-19</v>
      </c>
      <c r="L49" s="19">
        <f t="shared" si="18"/>
        <v>-0.33161255787892263</v>
      </c>
      <c r="M49" s="9">
        <f t="shared" si="19"/>
        <v>6.9889715717317822</v>
      </c>
      <c r="N49" s="20" t="s">
        <v>183</v>
      </c>
      <c r="O49" s="9">
        <f t="shared" si="20"/>
        <v>1</v>
      </c>
      <c r="P49" s="9">
        <f t="shared" si="21"/>
        <v>1.7453292519943295E-2</v>
      </c>
      <c r="Q49" s="9">
        <f t="shared" si="22"/>
        <v>0.37465080898916514</v>
      </c>
      <c r="R49" s="11"/>
      <c r="S49" s="9"/>
      <c r="T49" s="9"/>
      <c r="U49" s="9"/>
      <c r="V49" s="9"/>
      <c r="W49" s="9"/>
      <c r="X49" s="9"/>
      <c r="Y49" s="9"/>
      <c r="Z49" s="9"/>
      <c r="AA49" s="9"/>
    </row>
    <row r="50" spans="1:27" x14ac:dyDescent="0.25">
      <c r="A50" t="s">
        <v>410</v>
      </c>
      <c r="C50">
        <v>409</v>
      </c>
      <c r="D50" t="s">
        <v>347</v>
      </c>
      <c r="E50" t="s">
        <v>349</v>
      </c>
      <c r="F50">
        <v>47</v>
      </c>
      <c r="G50" s="19" t="s">
        <v>229</v>
      </c>
      <c r="H50" s="26">
        <v>-9</v>
      </c>
      <c r="I50" s="26">
        <f t="shared" si="6"/>
        <v>-0.15707963267948966</v>
      </c>
      <c r="J50" s="9">
        <f t="shared" si="16"/>
        <v>3.3581786610186359</v>
      </c>
      <c r="K50" s="9">
        <f t="shared" si="17"/>
        <v>-19</v>
      </c>
      <c r="L50" s="19">
        <f t="shared" si="18"/>
        <v>-0.33161255787892263</v>
      </c>
      <c r="M50" s="9">
        <f t="shared" si="19"/>
        <v>6.9889715717317822</v>
      </c>
      <c r="N50" s="20" t="s">
        <v>183</v>
      </c>
      <c r="O50" s="9">
        <f t="shared" si="20"/>
        <v>1</v>
      </c>
      <c r="P50" s="9">
        <f t="shared" si="21"/>
        <v>1.7453292519943295E-2</v>
      </c>
      <c r="Q50" s="9">
        <f t="shared" si="22"/>
        <v>0.37465080898916514</v>
      </c>
    </row>
    <row r="51" spans="1:27" x14ac:dyDescent="0.25">
      <c r="C51" t="s">
        <v>7</v>
      </c>
      <c r="D51">
        <v>21.466999999999999</v>
      </c>
    </row>
    <row r="54" spans="1:27" x14ac:dyDescent="0.25">
      <c r="A54" t="s">
        <v>233</v>
      </c>
    </row>
    <row r="55" spans="1:27" x14ac:dyDescent="0.25">
      <c r="A55" t="s">
        <v>234</v>
      </c>
    </row>
    <row r="56" spans="1:27" x14ac:dyDescent="0.25">
      <c r="A56" t="s">
        <v>235</v>
      </c>
    </row>
    <row r="57" spans="1:27" x14ac:dyDescent="0.25">
      <c r="A57" t="s">
        <v>236</v>
      </c>
    </row>
    <row r="58" spans="1:27" x14ac:dyDescent="0.25">
      <c r="A58" t="s">
        <v>237</v>
      </c>
    </row>
    <row r="59" spans="1:27" x14ac:dyDescent="0.25">
      <c r="A59" t="s">
        <v>334</v>
      </c>
    </row>
    <row r="60" spans="1:27" x14ac:dyDescent="0.25">
      <c r="A60" t="s">
        <v>335</v>
      </c>
    </row>
    <row r="61" spans="1:27" x14ac:dyDescent="0.25">
      <c r="A61" t="s">
        <v>336</v>
      </c>
    </row>
    <row r="62" spans="1:27" x14ac:dyDescent="0.25">
      <c r="A62" t="s">
        <v>337</v>
      </c>
    </row>
    <row r="63" spans="1:27" x14ac:dyDescent="0.25">
      <c r="A63" t="s">
        <v>242</v>
      </c>
    </row>
    <row r="64" spans="1:27" x14ac:dyDescent="0.25">
      <c r="A64" t="s">
        <v>338</v>
      </c>
    </row>
    <row r="65" spans="1:1" x14ac:dyDescent="0.25">
      <c r="A65" t="s">
        <v>339</v>
      </c>
    </row>
    <row r="66" spans="1:1" x14ac:dyDescent="0.25">
      <c r="A66" t="s">
        <v>352</v>
      </c>
    </row>
    <row r="67" spans="1:1" x14ac:dyDescent="0.25">
      <c r="A67" t="s">
        <v>353</v>
      </c>
    </row>
    <row r="68" spans="1:1" x14ac:dyDescent="0.25">
      <c r="A68" t="s">
        <v>355</v>
      </c>
    </row>
    <row r="69" spans="1:1" x14ac:dyDescent="0.25">
      <c r="A69" t="s">
        <v>356</v>
      </c>
    </row>
    <row r="70" spans="1:1" x14ac:dyDescent="0.25">
      <c r="A70" t="s">
        <v>357</v>
      </c>
    </row>
    <row r="71" spans="1:1" x14ac:dyDescent="0.25">
      <c r="A71" t="s">
        <v>358</v>
      </c>
    </row>
    <row r="72" spans="1:1" x14ac:dyDescent="0.25">
      <c r="A72" t="s">
        <v>359</v>
      </c>
    </row>
    <row r="73" spans="1:1" x14ac:dyDescent="0.25">
      <c r="A73" t="s">
        <v>360</v>
      </c>
    </row>
    <row r="74" spans="1:1" x14ac:dyDescent="0.25">
      <c r="A74" t="s">
        <v>361</v>
      </c>
    </row>
    <row r="75" spans="1:1" x14ac:dyDescent="0.25">
      <c r="A75" t="s">
        <v>363</v>
      </c>
    </row>
    <row r="76" spans="1:1" x14ac:dyDescent="0.25">
      <c r="A76" t="s">
        <v>364</v>
      </c>
    </row>
    <row r="77" spans="1:1" x14ac:dyDescent="0.25">
      <c r="A77" t="s">
        <v>365</v>
      </c>
    </row>
    <row r="78" spans="1:1" x14ac:dyDescent="0.25">
      <c r="A78" t="s">
        <v>366</v>
      </c>
    </row>
    <row r="79" spans="1:1" x14ac:dyDescent="0.25">
      <c r="A79" t="s">
        <v>367</v>
      </c>
    </row>
    <row r="80" spans="1:1" x14ac:dyDescent="0.25">
      <c r="A80" t="s">
        <v>368</v>
      </c>
    </row>
    <row r="81" spans="1:13" x14ac:dyDescent="0.25">
      <c r="A81" t="s">
        <v>369</v>
      </c>
    </row>
    <row r="82" spans="1:13" x14ac:dyDescent="0.25">
      <c r="A82" t="s">
        <v>371</v>
      </c>
    </row>
    <row r="83" spans="1:13" x14ac:dyDescent="0.25">
      <c r="A83" t="s">
        <v>372</v>
      </c>
    </row>
    <row r="84" spans="1:13" x14ac:dyDescent="0.25">
      <c r="A84" t="s">
        <v>373</v>
      </c>
    </row>
    <row r="85" spans="1:13" x14ac:dyDescent="0.25">
      <c r="A85" t="s">
        <v>264</v>
      </c>
    </row>
    <row r="86" spans="1:13" x14ac:dyDescent="0.25">
      <c r="A86" t="s">
        <v>374</v>
      </c>
    </row>
    <row r="87" spans="1:13" x14ac:dyDescent="0.25">
      <c r="A87" t="s">
        <v>375</v>
      </c>
    </row>
    <row r="88" spans="1:13" x14ac:dyDescent="0.25">
      <c r="A88" t="s">
        <v>267</v>
      </c>
    </row>
    <row r="89" spans="1:13" x14ac:dyDescent="0.25">
      <c r="A89" t="s">
        <v>376</v>
      </c>
    </row>
    <row r="90" spans="1:13" x14ac:dyDescent="0.25">
      <c r="A90" t="s">
        <v>377</v>
      </c>
    </row>
    <row r="91" spans="1:13" x14ac:dyDescent="0.25">
      <c r="A91" t="s">
        <v>378</v>
      </c>
    </row>
    <row r="92" spans="1:13" x14ac:dyDescent="0.25">
      <c r="A92" t="s">
        <v>379</v>
      </c>
    </row>
    <row r="93" spans="1:13" x14ac:dyDescent="0.25">
      <c r="A93" t="s">
        <v>380</v>
      </c>
      <c r="L93" s="19">
        <v>0</v>
      </c>
      <c r="M93">
        <f>IF(L93&lt;&gt;0, L93+12, 0)</f>
        <v>0</v>
      </c>
    </row>
    <row r="94" spans="1:13" x14ac:dyDescent="0.25">
      <c r="A94" t="s">
        <v>273</v>
      </c>
      <c r="L94" s="19">
        <v>-12.5</v>
      </c>
      <c r="M94">
        <f t="shared" ref="M94:M135" si="26">IF(L94&lt;&gt;0, L94+12, 0)</f>
        <v>-0.5</v>
      </c>
    </row>
    <row r="95" spans="1:13" x14ac:dyDescent="0.25">
      <c r="A95" t="s">
        <v>381</v>
      </c>
      <c r="L95" s="19">
        <v>0</v>
      </c>
      <c r="M95">
        <f t="shared" si="26"/>
        <v>0</v>
      </c>
    </row>
    <row r="96" spans="1:13" x14ac:dyDescent="0.25">
      <c r="A96" t="s">
        <v>382</v>
      </c>
      <c r="L96" s="19">
        <v>0</v>
      </c>
      <c r="M96">
        <f t="shared" si="26"/>
        <v>0</v>
      </c>
    </row>
    <row r="97" spans="1:13" x14ac:dyDescent="0.25">
      <c r="A97" t="s">
        <v>384</v>
      </c>
      <c r="L97" s="19">
        <v>0</v>
      </c>
      <c r="M97">
        <f t="shared" si="26"/>
        <v>0</v>
      </c>
    </row>
    <row r="98" spans="1:13" x14ac:dyDescent="0.25">
      <c r="A98" t="s">
        <v>385</v>
      </c>
      <c r="L98" s="19">
        <v>0</v>
      </c>
      <c r="M98">
        <f t="shared" si="26"/>
        <v>0</v>
      </c>
    </row>
    <row r="99" spans="1:13" x14ac:dyDescent="0.25">
      <c r="A99" t="s">
        <v>386</v>
      </c>
      <c r="L99" s="19">
        <v>-12.5</v>
      </c>
      <c r="M99">
        <f t="shared" si="26"/>
        <v>-0.5</v>
      </c>
    </row>
    <row r="100" spans="1:13" x14ac:dyDescent="0.25">
      <c r="A100" t="s">
        <v>387</v>
      </c>
      <c r="L100" s="19">
        <v>0</v>
      </c>
      <c r="M100">
        <f t="shared" si="26"/>
        <v>0</v>
      </c>
    </row>
    <row r="101" spans="1:13" x14ac:dyDescent="0.25">
      <c r="L101" s="19">
        <v>0</v>
      </c>
      <c r="M101">
        <f t="shared" si="26"/>
        <v>0</v>
      </c>
    </row>
    <row r="102" spans="1:13" x14ac:dyDescent="0.25">
      <c r="L102" s="19">
        <v>0</v>
      </c>
      <c r="M102">
        <f t="shared" si="26"/>
        <v>0</v>
      </c>
    </row>
    <row r="103" spans="1:13" x14ac:dyDescent="0.25">
      <c r="L103" s="19">
        <v>-9</v>
      </c>
      <c r="M103">
        <f t="shared" si="26"/>
        <v>3</v>
      </c>
    </row>
    <row r="104" spans="1:13" x14ac:dyDescent="0.25">
      <c r="L104" s="19">
        <v>0</v>
      </c>
      <c r="M104">
        <f t="shared" si="26"/>
        <v>0</v>
      </c>
    </row>
    <row r="105" spans="1:13" x14ac:dyDescent="0.25">
      <c r="L105" s="19">
        <v>-0.5</v>
      </c>
      <c r="M105">
        <f t="shared" si="26"/>
        <v>11.5</v>
      </c>
    </row>
    <row r="106" spans="1:13" x14ac:dyDescent="0.25">
      <c r="L106" s="19">
        <v>0</v>
      </c>
      <c r="M106">
        <f t="shared" si="26"/>
        <v>0</v>
      </c>
    </row>
    <row r="107" spans="1:13" x14ac:dyDescent="0.25">
      <c r="L107" s="19">
        <v>0</v>
      </c>
      <c r="M107">
        <f t="shared" si="26"/>
        <v>0</v>
      </c>
    </row>
    <row r="108" spans="1:13" x14ac:dyDescent="0.25">
      <c r="L108" s="19">
        <v>0</v>
      </c>
      <c r="M108">
        <f t="shared" si="26"/>
        <v>0</v>
      </c>
    </row>
    <row r="109" spans="1:13" x14ac:dyDescent="0.25">
      <c r="L109" s="19">
        <v>0</v>
      </c>
      <c r="M109">
        <f t="shared" si="26"/>
        <v>0</v>
      </c>
    </row>
    <row r="110" spans="1:13" x14ac:dyDescent="0.25">
      <c r="L110" s="19">
        <v>0</v>
      </c>
      <c r="M110">
        <f t="shared" si="26"/>
        <v>0</v>
      </c>
    </row>
    <row r="111" spans="1:13" x14ac:dyDescent="0.25">
      <c r="L111" s="19">
        <v>0</v>
      </c>
      <c r="M111">
        <f t="shared" si="26"/>
        <v>0</v>
      </c>
    </row>
    <row r="112" spans="1:13" x14ac:dyDescent="0.25">
      <c r="L112" s="19">
        <v>0</v>
      </c>
      <c r="M112">
        <f t="shared" si="26"/>
        <v>0</v>
      </c>
    </row>
    <row r="113" spans="12:13" x14ac:dyDescent="0.25">
      <c r="L113" s="19">
        <v>-7</v>
      </c>
      <c r="M113">
        <f t="shared" si="26"/>
        <v>5</v>
      </c>
    </row>
    <row r="114" spans="12:13" x14ac:dyDescent="0.25">
      <c r="L114" s="19">
        <v>-7</v>
      </c>
      <c r="M114">
        <f t="shared" si="26"/>
        <v>5</v>
      </c>
    </row>
    <row r="115" spans="12:13" x14ac:dyDescent="0.25">
      <c r="L115" s="19">
        <v>3</v>
      </c>
      <c r="M115">
        <f t="shared" si="26"/>
        <v>15</v>
      </c>
    </row>
    <row r="116" spans="12:13" x14ac:dyDescent="0.25">
      <c r="L116" s="21">
        <v>0</v>
      </c>
      <c r="M116">
        <f t="shared" si="26"/>
        <v>0</v>
      </c>
    </row>
    <row r="117" spans="12:13" x14ac:dyDescent="0.25">
      <c r="L117" s="21">
        <v>0</v>
      </c>
      <c r="M117">
        <f t="shared" si="26"/>
        <v>0</v>
      </c>
    </row>
    <row r="118" spans="12:13" x14ac:dyDescent="0.25">
      <c r="L118" s="21">
        <v>0</v>
      </c>
      <c r="M118">
        <f t="shared" si="26"/>
        <v>0</v>
      </c>
    </row>
    <row r="119" spans="12:13" x14ac:dyDescent="0.25">
      <c r="L119" s="21">
        <v>0</v>
      </c>
      <c r="M119">
        <f t="shared" si="26"/>
        <v>0</v>
      </c>
    </row>
    <row r="120" spans="12:13" x14ac:dyDescent="0.25">
      <c r="L120" s="19">
        <v>3</v>
      </c>
      <c r="M120">
        <f t="shared" si="26"/>
        <v>15</v>
      </c>
    </row>
    <row r="121" spans="12:13" x14ac:dyDescent="0.25">
      <c r="L121" s="19">
        <v>-7.8</v>
      </c>
      <c r="M121">
        <f t="shared" si="26"/>
        <v>4.2</v>
      </c>
    </row>
    <row r="122" spans="12:13" x14ac:dyDescent="0.25">
      <c r="L122" s="19">
        <v>-4.8</v>
      </c>
      <c r="M122">
        <f t="shared" si="26"/>
        <v>7.2</v>
      </c>
    </row>
    <row r="123" spans="12:13" x14ac:dyDescent="0.25">
      <c r="L123" s="20">
        <v>1.5</v>
      </c>
      <c r="M123">
        <f t="shared" si="26"/>
        <v>13.5</v>
      </c>
    </row>
    <row r="124" spans="12:13" x14ac:dyDescent="0.25">
      <c r="L124" s="20">
        <v>-3.6</v>
      </c>
      <c r="M124">
        <f t="shared" si="26"/>
        <v>8.4</v>
      </c>
    </row>
    <row r="125" spans="12:13" x14ac:dyDescent="0.25">
      <c r="L125" s="20">
        <v>-0.5</v>
      </c>
      <c r="M125">
        <f t="shared" si="26"/>
        <v>11.5</v>
      </c>
    </row>
    <row r="126" spans="12:13" x14ac:dyDescent="0.25">
      <c r="L126" s="20">
        <v>9.5</v>
      </c>
      <c r="M126">
        <f t="shared" si="26"/>
        <v>21.5</v>
      </c>
    </row>
    <row r="127" spans="12:13" x14ac:dyDescent="0.25">
      <c r="L127" s="20">
        <v>-0.6</v>
      </c>
      <c r="M127">
        <f t="shared" si="26"/>
        <v>11.4</v>
      </c>
    </row>
    <row r="128" spans="12:13" x14ac:dyDescent="0.25">
      <c r="L128" s="20">
        <v>0</v>
      </c>
      <c r="M128">
        <f t="shared" si="26"/>
        <v>0</v>
      </c>
    </row>
    <row r="129" spans="12:13" x14ac:dyDescent="0.25">
      <c r="L129" s="20">
        <v>0</v>
      </c>
      <c r="M129">
        <f t="shared" si="26"/>
        <v>0</v>
      </c>
    </row>
    <row r="130" spans="12:13" x14ac:dyDescent="0.25">
      <c r="L130" s="20">
        <v>0</v>
      </c>
      <c r="M130">
        <f t="shared" si="26"/>
        <v>0</v>
      </c>
    </row>
    <row r="131" spans="12:13" x14ac:dyDescent="0.25">
      <c r="L131" s="20">
        <v>-0.6</v>
      </c>
      <c r="M131">
        <f t="shared" si="26"/>
        <v>11.4</v>
      </c>
    </row>
    <row r="132" spans="12:13" x14ac:dyDescent="0.25">
      <c r="L132" s="20">
        <v>0</v>
      </c>
      <c r="M132">
        <f t="shared" si="26"/>
        <v>0</v>
      </c>
    </row>
    <row r="133" spans="12:13" x14ac:dyDescent="0.25">
      <c r="L133" s="20">
        <v>0</v>
      </c>
      <c r="M133">
        <f t="shared" si="26"/>
        <v>0</v>
      </c>
    </row>
    <row r="134" spans="12:13" x14ac:dyDescent="0.25">
      <c r="L134" s="20">
        <v>0</v>
      </c>
      <c r="M134">
        <f t="shared" si="26"/>
        <v>0</v>
      </c>
    </row>
    <row r="135" spans="12:13" x14ac:dyDescent="0.25">
      <c r="L135" s="20">
        <v>-0.6</v>
      </c>
      <c r="M135">
        <f t="shared" si="26"/>
        <v>11.4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0</xdr:col>
                <xdr:colOff>0</xdr:colOff>
                <xdr:row>0</xdr:row>
                <xdr:rowOff>47625</xdr:rowOff>
              </from>
              <to>
                <xdr:col>0</xdr:col>
                <xdr:colOff>914400</xdr:colOff>
                <xdr:row>1</xdr:row>
                <xdr:rowOff>161925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autoLine="0" r:id="rId7">
            <anchor moveWithCells="1">
              <from>
                <xdr:col>1</xdr:col>
                <xdr:colOff>123825</xdr:colOff>
                <xdr:row>0</xdr:row>
                <xdr:rowOff>57150</xdr:rowOff>
              </from>
              <to>
                <xdr:col>1</xdr:col>
                <xdr:colOff>1038225</xdr:colOff>
                <xdr:row>1</xdr:row>
                <xdr:rowOff>171450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A96"/>
  <sheetViews>
    <sheetView zoomScale="70" zoomScaleNormal="70" workbookViewId="0">
      <selection activeCell="L39" sqref="L39"/>
    </sheetView>
  </sheetViews>
  <sheetFormatPr defaultRowHeight="15" x14ac:dyDescent="0.25"/>
  <cols>
    <col min="1" max="1" width="36.28515625" bestFit="1" customWidth="1"/>
    <col min="3" max="27" width="9.42578125" customWidth="1"/>
  </cols>
  <sheetData>
    <row r="1" spans="1:27" x14ac:dyDescent="0.25">
      <c r="C1" s="2" t="s">
        <v>24</v>
      </c>
      <c r="H1" s="1">
        <v>8</v>
      </c>
      <c r="I1">
        <v>9</v>
      </c>
      <c r="J1">
        <v>10</v>
      </c>
      <c r="K1">
        <v>11</v>
      </c>
      <c r="L1" s="1">
        <v>12</v>
      </c>
      <c r="M1">
        <v>13</v>
      </c>
      <c r="N1">
        <v>14</v>
      </c>
      <c r="O1">
        <v>15</v>
      </c>
      <c r="P1" s="1">
        <v>16</v>
      </c>
      <c r="Q1">
        <v>17</v>
      </c>
      <c r="R1">
        <v>18</v>
      </c>
      <c r="S1">
        <v>19</v>
      </c>
      <c r="T1" s="1">
        <v>20</v>
      </c>
      <c r="U1">
        <v>21</v>
      </c>
      <c r="V1">
        <v>22</v>
      </c>
      <c r="W1">
        <v>23</v>
      </c>
      <c r="X1" s="1">
        <v>24</v>
      </c>
      <c r="Y1">
        <v>25</v>
      </c>
      <c r="Z1">
        <v>26</v>
      </c>
      <c r="AA1">
        <v>27</v>
      </c>
    </row>
    <row r="2" spans="1:27" x14ac:dyDescent="0.25">
      <c r="C2" s="2" t="s">
        <v>125</v>
      </c>
      <c r="D2" t="s">
        <v>124</v>
      </c>
      <c r="H2" s="3" t="s">
        <v>25</v>
      </c>
      <c r="I2" s="4"/>
      <c r="J2" s="4"/>
      <c r="K2" s="4"/>
      <c r="L2" s="4"/>
      <c r="M2" s="4"/>
      <c r="N2" s="4"/>
      <c r="O2" s="4"/>
      <c r="P2" s="4"/>
      <c r="Q2" s="4"/>
      <c r="R2" s="13"/>
      <c r="S2" s="4"/>
      <c r="T2" s="4"/>
      <c r="U2" s="4"/>
      <c r="V2" s="4"/>
      <c r="W2" s="4"/>
      <c r="X2" s="4"/>
      <c r="Y2" s="5"/>
      <c r="Z2" s="4"/>
      <c r="AA2" s="4"/>
    </row>
    <row r="3" spans="1:27" x14ac:dyDescent="0.25">
      <c r="A3" t="s">
        <v>126</v>
      </c>
      <c r="B3" t="s">
        <v>319</v>
      </c>
      <c r="C3" s="1" t="s">
        <v>0</v>
      </c>
      <c r="D3" s="1" t="s">
        <v>1</v>
      </c>
      <c r="E3" s="1" t="s">
        <v>2</v>
      </c>
      <c r="F3" s="1" t="s">
        <v>28</v>
      </c>
      <c r="G3" s="1"/>
      <c r="H3" s="18" t="s">
        <v>346</v>
      </c>
      <c r="I3" s="7" t="s">
        <v>122</v>
      </c>
      <c r="J3" s="7" t="s">
        <v>123</v>
      </c>
      <c r="K3" s="7" t="s">
        <v>3</v>
      </c>
      <c r="L3" s="7" t="s">
        <v>122</v>
      </c>
      <c r="M3" s="7" t="s">
        <v>123</v>
      </c>
      <c r="N3" s="7" t="s">
        <v>59</v>
      </c>
      <c r="O3" s="7" t="s">
        <v>4</v>
      </c>
      <c r="P3" s="7" t="s">
        <v>122</v>
      </c>
      <c r="Q3" s="7" t="s">
        <v>123</v>
      </c>
      <c r="R3" s="14" t="s">
        <v>27</v>
      </c>
      <c r="S3" s="7" t="s">
        <v>122</v>
      </c>
      <c r="T3" s="7" t="s">
        <v>123</v>
      </c>
      <c r="U3" s="7" t="s">
        <v>5</v>
      </c>
      <c r="V3" s="7" t="s">
        <v>122</v>
      </c>
      <c r="W3" s="7" t="s">
        <v>123</v>
      </c>
      <c r="X3" s="7" t="s">
        <v>78</v>
      </c>
      <c r="Y3" s="8" t="s">
        <v>6</v>
      </c>
      <c r="Z3" s="7" t="s">
        <v>122</v>
      </c>
      <c r="AA3" s="7" t="s">
        <v>123</v>
      </c>
    </row>
    <row r="4" spans="1:27" x14ac:dyDescent="0.25">
      <c r="A4" t="s">
        <v>276</v>
      </c>
      <c r="C4">
        <v>322</v>
      </c>
      <c r="D4" t="s">
        <v>8</v>
      </c>
      <c r="E4" t="s">
        <v>9</v>
      </c>
      <c r="F4">
        <v>1</v>
      </c>
      <c r="G4" s="19" t="s">
        <v>228</v>
      </c>
      <c r="H4" s="19">
        <v>0</v>
      </c>
      <c r="I4" s="9">
        <f>RADIANS(H4)</f>
        <v>0</v>
      </c>
      <c r="J4" s="9">
        <f>IF(I4&gt;0,$D$51*SIN(I4), $D$51*SIN(-I4))</f>
        <v>0</v>
      </c>
      <c r="K4" s="9">
        <f>IF($G4="pitch",H4-10, H4)</f>
        <v>0</v>
      </c>
      <c r="L4" s="9">
        <f>RADIANS(K4)</f>
        <v>0</v>
      </c>
      <c r="M4" s="9">
        <f>IF(L4&gt;0,$D$51*SIN(L4), $D$51*SIN(-L4))</f>
        <v>0</v>
      </c>
      <c r="N4" s="9" t="s">
        <v>127</v>
      </c>
      <c r="O4" s="9">
        <f>IF($G4="pitch",H4+10, H4)</f>
        <v>0</v>
      </c>
      <c r="P4" s="9">
        <f>RADIANS(O4)</f>
        <v>0</v>
      </c>
      <c r="Q4" s="9">
        <f>IF(O4&gt;0,$D$51*SIN(O4), $D$51*SIN(-O4))</f>
        <v>0</v>
      </c>
      <c r="R4" s="15">
        <v>15</v>
      </c>
      <c r="S4" s="9">
        <f>RADIANS(R4)</f>
        <v>0.26179938779914941</v>
      </c>
      <c r="T4" s="9">
        <f>IF(S4&gt;0,$D$51*SIN(S4), $D$51*SIN(-S4))</f>
        <v>5.5560684412158121</v>
      </c>
      <c r="U4" s="9">
        <f>IF($G4="yaw",R4-10, R4)</f>
        <v>5</v>
      </c>
      <c r="V4" s="9">
        <f>RADIANS(U4)</f>
        <v>8.7266462599716474E-2</v>
      </c>
      <c r="W4" s="9">
        <f>IF(V4&gt;0,$D$51*SIN(V4), $D$51*SIN(-V4))</f>
        <v>1.8709723295639777</v>
      </c>
      <c r="X4" s="9" t="s">
        <v>79</v>
      </c>
      <c r="Y4" s="9">
        <f>IF($G4="yaw",R4+10, R4)</f>
        <v>25</v>
      </c>
      <c r="Z4" s="9">
        <f>RADIANS(Y4)</f>
        <v>0.43633231299858238</v>
      </c>
      <c r="AA4" s="9">
        <f>IF(Z4&gt;0,$D$51*SIN(Z4), $D$51*SIN(-Z4))</f>
        <v>9.0723462247875943</v>
      </c>
    </row>
    <row r="5" spans="1:27" x14ac:dyDescent="0.25">
      <c r="A5" t="s">
        <v>277</v>
      </c>
      <c r="C5">
        <v>334</v>
      </c>
      <c r="D5" t="s">
        <v>8</v>
      </c>
      <c r="E5" t="s">
        <v>10</v>
      </c>
      <c r="F5">
        <v>2</v>
      </c>
      <c r="G5" s="19" t="s">
        <v>229</v>
      </c>
      <c r="H5" s="19">
        <v>-12.5</v>
      </c>
      <c r="I5" s="9">
        <f t="shared" ref="I5:I47" si="0">RADIANS(H5)</f>
        <v>-0.21816615649929119</v>
      </c>
      <c r="J5" s="9">
        <f t="shared" ref="J5:J47" si="1">IF(I5&gt;0,$D$51*SIN(I5), $D$51*SIN(-I5))</f>
        <v>4.6463091924092543</v>
      </c>
      <c r="K5" s="9">
        <f t="shared" ref="K5:K47" si="2">IF($G5="pitch",H5-10, H5)</f>
        <v>-22.5</v>
      </c>
      <c r="L5" s="9">
        <f t="shared" ref="L5:L47" si="3">RADIANS(K5)</f>
        <v>-0.39269908169872414</v>
      </c>
      <c r="M5" s="9">
        <f t="shared" ref="M5:M47" si="4">IF(L5&gt;0,$D$51*SIN(L5), $D$51*SIN(-L5))</f>
        <v>8.2150652425813817</v>
      </c>
      <c r="N5" s="9" t="s">
        <v>128</v>
      </c>
      <c r="O5" s="9">
        <f t="shared" ref="O5:O47" si="5">IF($G5="pitch",H5+10, H5)</f>
        <v>-2.5</v>
      </c>
      <c r="P5" s="9">
        <f t="shared" ref="P5:P47" si="6">RADIANS(O5)</f>
        <v>-4.3633231299858237E-2</v>
      </c>
      <c r="Q5" s="9">
        <f t="shared" ref="Q5:Q47" si="7">IF(O5&gt;0,$D$51*SIN(O5), $D$51*SIN(-O5))</f>
        <v>12.847401517479634</v>
      </c>
      <c r="R5" s="15">
        <v>0</v>
      </c>
      <c r="S5" s="9">
        <f t="shared" ref="S5:S47" si="8">RADIANS(R5)</f>
        <v>0</v>
      </c>
      <c r="T5" s="9">
        <f t="shared" ref="T5:T47" si="9">IF(S5&gt;0,$D$51*SIN(S5), $D$51*SIN(-S5))</f>
        <v>0</v>
      </c>
      <c r="U5" s="9">
        <f t="shared" ref="U5:U47" si="10">IF($G5="yaw",R5-10, R5)</f>
        <v>0</v>
      </c>
      <c r="V5" s="9">
        <f t="shared" ref="V5:V47" si="11">RADIANS(U5)</f>
        <v>0</v>
      </c>
      <c r="W5" s="9">
        <f t="shared" ref="W5:W47" si="12">IF(V5&gt;0,$D$51*SIN(V5), $D$51*SIN(-V5))</f>
        <v>0</v>
      </c>
      <c r="X5" s="9" t="s">
        <v>81</v>
      </c>
      <c r="Y5" s="9">
        <f t="shared" ref="Y5:Y47" si="13">IF($G5="yaw",R5+10, R5)</f>
        <v>0</v>
      </c>
      <c r="Z5" s="9">
        <f t="shared" ref="Z5:Z47" si="14">RADIANS(Y5)</f>
        <v>0</v>
      </c>
      <c r="AA5" s="9">
        <f t="shared" ref="AA5:AA47" si="15">IF(Z5&gt;0,$D$51*SIN(Z5), $D$51*SIN(-Z5))</f>
        <v>0</v>
      </c>
    </row>
    <row r="6" spans="1:27" x14ac:dyDescent="0.25">
      <c r="A6" t="s">
        <v>303</v>
      </c>
      <c r="C6">
        <v>325</v>
      </c>
      <c r="D6" t="s">
        <v>8</v>
      </c>
      <c r="E6" t="s">
        <v>11</v>
      </c>
      <c r="F6">
        <v>3</v>
      </c>
      <c r="G6" s="19" t="s">
        <v>228</v>
      </c>
      <c r="H6" s="19">
        <v>0</v>
      </c>
      <c r="I6" s="9">
        <f t="shared" si="0"/>
        <v>0</v>
      </c>
      <c r="J6" s="9">
        <f t="shared" si="1"/>
        <v>0</v>
      </c>
      <c r="K6" s="9">
        <f t="shared" si="2"/>
        <v>0</v>
      </c>
      <c r="L6" s="9">
        <f t="shared" si="3"/>
        <v>0</v>
      </c>
      <c r="M6" s="9">
        <f t="shared" si="4"/>
        <v>0</v>
      </c>
      <c r="N6" s="9" t="s">
        <v>129</v>
      </c>
      <c r="O6" s="9">
        <f t="shared" si="5"/>
        <v>0</v>
      </c>
      <c r="P6" s="9">
        <f t="shared" si="6"/>
        <v>0</v>
      </c>
      <c r="Q6" s="9">
        <f t="shared" si="7"/>
        <v>0</v>
      </c>
      <c r="R6" s="15">
        <v>0</v>
      </c>
      <c r="S6" s="9">
        <f t="shared" si="8"/>
        <v>0</v>
      </c>
      <c r="T6" s="9">
        <f t="shared" si="9"/>
        <v>0</v>
      </c>
      <c r="U6" s="9">
        <f t="shared" si="10"/>
        <v>-10</v>
      </c>
      <c r="V6" s="9">
        <f t="shared" si="11"/>
        <v>-0.17453292519943295</v>
      </c>
      <c r="W6" s="9">
        <f t="shared" si="12"/>
        <v>3.7277054299759933</v>
      </c>
      <c r="X6" s="11" t="s">
        <v>82</v>
      </c>
      <c r="Y6" s="9">
        <f t="shared" si="13"/>
        <v>10</v>
      </c>
      <c r="Z6" s="9">
        <f t="shared" si="14"/>
        <v>0.17453292519943295</v>
      </c>
      <c r="AA6" s="9">
        <f t="shared" si="15"/>
        <v>3.7277054299759933</v>
      </c>
    </row>
    <row r="7" spans="1:27" x14ac:dyDescent="0.25">
      <c r="A7" t="s">
        <v>278</v>
      </c>
      <c r="C7">
        <v>321</v>
      </c>
      <c r="D7" t="s">
        <v>8</v>
      </c>
      <c r="E7" t="s">
        <v>12</v>
      </c>
      <c r="F7">
        <v>4</v>
      </c>
      <c r="G7" s="19" t="s">
        <v>228</v>
      </c>
      <c r="H7" s="19">
        <v>0</v>
      </c>
      <c r="I7" s="9">
        <f t="shared" si="0"/>
        <v>0</v>
      </c>
      <c r="J7" s="9">
        <f t="shared" si="1"/>
        <v>0</v>
      </c>
      <c r="K7" s="9">
        <f t="shared" si="2"/>
        <v>0</v>
      </c>
      <c r="L7" s="9">
        <f t="shared" si="3"/>
        <v>0</v>
      </c>
      <c r="M7" s="9">
        <f t="shared" si="4"/>
        <v>0</v>
      </c>
      <c r="N7" s="11" t="s">
        <v>130</v>
      </c>
      <c r="O7" s="9">
        <f t="shared" si="5"/>
        <v>0</v>
      </c>
      <c r="P7" s="9">
        <f t="shared" si="6"/>
        <v>0</v>
      </c>
      <c r="Q7" s="9">
        <f t="shared" si="7"/>
        <v>0</v>
      </c>
      <c r="R7" s="15">
        <v>-15</v>
      </c>
      <c r="S7" s="9">
        <f t="shared" si="8"/>
        <v>-0.26179938779914941</v>
      </c>
      <c r="T7" s="9">
        <f t="shared" si="9"/>
        <v>5.5560684412158121</v>
      </c>
      <c r="U7" s="9">
        <f t="shared" si="10"/>
        <v>-25</v>
      </c>
      <c r="V7" s="9">
        <f t="shared" si="11"/>
        <v>-0.43633231299858238</v>
      </c>
      <c r="W7" s="9">
        <f t="shared" si="12"/>
        <v>9.0723462247875943</v>
      </c>
      <c r="X7" s="11" t="s">
        <v>83</v>
      </c>
      <c r="Y7" s="9">
        <f t="shared" si="13"/>
        <v>-5</v>
      </c>
      <c r="Z7" s="9">
        <f t="shared" si="14"/>
        <v>-8.7266462599716474E-2</v>
      </c>
      <c r="AA7" s="9">
        <f t="shared" si="15"/>
        <v>1.8709723295639777</v>
      </c>
    </row>
    <row r="8" spans="1:27" x14ac:dyDescent="0.25">
      <c r="A8" t="s">
        <v>304</v>
      </c>
      <c r="C8">
        <v>344</v>
      </c>
      <c r="D8" t="s">
        <v>8</v>
      </c>
      <c r="E8" t="s">
        <v>13</v>
      </c>
      <c r="F8">
        <v>5</v>
      </c>
      <c r="G8" s="19" t="s">
        <v>228</v>
      </c>
      <c r="H8" s="19">
        <v>0</v>
      </c>
      <c r="I8" s="9">
        <f t="shared" si="0"/>
        <v>0</v>
      </c>
      <c r="J8" s="9">
        <f t="shared" si="1"/>
        <v>0</v>
      </c>
      <c r="K8" s="9">
        <f t="shared" si="2"/>
        <v>0</v>
      </c>
      <c r="L8" s="9">
        <f t="shared" si="3"/>
        <v>0</v>
      </c>
      <c r="M8" s="9">
        <f t="shared" si="4"/>
        <v>0</v>
      </c>
      <c r="N8" s="11" t="s">
        <v>131</v>
      </c>
      <c r="O8" s="9">
        <f t="shared" si="5"/>
        <v>0</v>
      </c>
      <c r="P8" s="9">
        <f t="shared" si="6"/>
        <v>0</v>
      </c>
      <c r="Q8" s="9">
        <f t="shared" si="7"/>
        <v>0</v>
      </c>
      <c r="R8" s="16">
        <v>0</v>
      </c>
      <c r="S8" s="9">
        <f t="shared" si="8"/>
        <v>0</v>
      </c>
      <c r="T8" s="9">
        <f t="shared" si="9"/>
        <v>0</v>
      </c>
      <c r="U8" s="9">
        <f t="shared" si="10"/>
        <v>-10</v>
      </c>
      <c r="V8" s="9">
        <f t="shared" si="11"/>
        <v>-0.17453292519943295</v>
      </c>
      <c r="W8" s="9">
        <f t="shared" si="12"/>
        <v>3.7277054299759933</v>
      </c>
      <c r="X8" s="11" t="s">
        <v>84</v>
      </c>
      <c r="Y8" s="9">
        <f t="shared" si="13"/>
        <v>10</v>
      </c>
      <c r="Z8" s="9">
        <f t="shared" si="14"/>
        <v>0.17453292519943295</v>
      </c>
      <c r="AA8" s="9">
        <f t="shared" si="15"/>
        <v>3.7277054299759933</v>
      </c>
    </row>
    <row r="9" spans="1:27" x14ac:dyDescent="0.25">
      <c r="A9" t="s">
        <v>279</v>
      </c>
      <c r="C9">
        <v>514</v>
      </c>
      <c r="D9" t="s">
        <v>14</v>
      </c>
      <c r="E9" t="s">
        <v>9</v>
      </c>
      <c r="F9">
        <v>6</v>
      </c>
      <c r="G9" s="19" t="s">
        <v>228</v>
      </c>
      <c r="H9" s="19">
        <v>0</v>
      </c>
      <c r="I9" s="9">
        <f t="shared" si="0"/>
        <v>0</v>
      </c>
      <c r="J9" s="9">
        <f t="shared" si="1"/>
        <v>0</v>
      </c>
      <c r="K9" s="9">
        <f t="shared" si="2"/>
        <v>0</v>
      </c>
      <c r="L9" s="9">
        <f t="shared" si="3"/>
        <v>0</v>
      </c>
      <c r="M9" s="9">
        <f t="shared" si="4"/>
        <v>0</v>
      </c>
      <c r="N9" s="11" t="s">
        <v>132</v>
      </c>
      <c r="O9" s="9">
        <f t="shared" si="5"/>
        <v>0</v>
      </c>
      <c r="P9" s="9">
        <f t="shared" si="6"/>
        <v>0</v>
      </c>
      <c r="Q9" s="9">
        <f t="shared" si="7"/>
        <v>0</v>
      </c>
      <c r="R9" s="16">
        <v>15</v>
      </c>
      <c r="S9" s="9">
        <f t="shared" si="8"/>
        <v>0.26179938779914941</v>
      </c>
      <c r="T9" s="9">
        <f t="shared" si="9"/>
        <v>5.5560684412158121</v>
      </c>
      <c r="U9" s="9">
        <f t="shared" si="10"/>
        <v>5</v>
      </c>
      <c r="V9" s="9">
        <f t="shared" si="11"/>
        <v>8.7266462599716474E-2</v>
      </c>
      <c r="W9" s="9">
        <f t="shared" si="12"/>
        <v>1.8709723295639777</v>
      </c>
      <c r="X9" s="11" t="s">
        <v>85</v>
      </c>
      <c r="Y9" s="9">
        <f t="shared" si="13"/>
        <v>25</v>
      </c>
      <c r="Z9" s="9">
        <f t="shared" si="14"/>
        <v>0.43633231299858238</v>
      </c>
      <c r="AA9" s="9">
        <f t="shared" si="15"/>
        <v>9.0723462247875943</v>
      </c>
    </row>
    <row r="10" spans="1:27" x14ac:dyDescent="0.25">
      <c r="A10" t="s">
        <v>280</v>
      </c>
      <c r="C10">
        <v>515</v>
      </c>
      <c r="D10" t="s">
        <v>14</v>
      </c>
      <c r="E10" t="s">
        <v>10</v>
      </c>
      <c r="F10">
        <v>7</v>
      </c>
      <c r="G10" s="19" t="s">
        <v>229</v>
      </c>
      <c r="H10" s="19">
        <v>-12.5</v>
      </c>
      <c r="I10" s="9">
        <f t="shared" si="0"/>
        <v>-0.21816615649929119</v>
      </c>
      <c r="J10" s="9">
        <f t="shared" si="1"/>
        <v>4.6463091924092543</v>
      </c>
      <c r="K10" s="9">
        <f t="shared" si="2"/>
        <v>-22.5</v>
      </c>
      <c r="L10" s="9">
        <f t="shared" si="3"/>
        <v>-0.39269908169872414</v>
      </c>
      <c r="M10" s="9">
        <f t="shared" si="4"/>
        <v>8.2150652425813817</v>
      </c>
      <c r="N10" s="11" t="s">
        <v>133</v>
      </c>
      <c r="O10" s="9">
        <f t="shared" si="5"/>
        <v>-2.5</v>
      </c>
      <c r="P10" s="9">
        <f t="shared" si="6"/>
        <v>-4.3633231299858237E-2</v>
      </c>
      <c r="Q10" s="9">
        <f t="shared" si="7"/>
        <v>12.847401517479634</v>
      </c>
      <c r="R10" s="16">
        <v>0</v>
      </c>
      <c r="S10" s="9">
        <f t="shared" si="8"/>
        <v>0</v>
      </c>
      <c r="T10" s="9">
        <f t="shared" si="9"/>
        <v>0</v>
      </c>
      <c r="U10" s="9">
        <f t="shared" si="10"/>
        <v>0</v>
      </c>
      <c r="V10" s="9">
        <f t="shared" si="11"/>
        <v>0</v>
      </c>
      <c r="W10" s="9">
        <f t="shared" si="12"/>
        <v>0</v>
      </c>
      <c r="X10" s="11" t="s">
        <v>86</v>
      </c>
      <c r="Y10" s="9">
        <f t="shared" si="13"/>
        <v>0</v>
      </c>
      <c r="Z10" s="9">
        <f t="shared" si="14"/>
        <v>0</v>
      </c>
      <c r="AA10" s="9">
        <f t="shared" si="15"/>
        <v>0</v>
      </c>
    </row>
    <row r="11" spans="1:27" x14ac:dyDescent="0.25">
      <c r="A11" t="s">
        <v>305</v>
      </c>
      <c r="C11">
        <v>534</v>
      </c>
      <c r="D11" t="s">
        <v>14</v>
      </c>
      <c r="E11" t="s">
        <v>11</v>
      </c>
      <c r="F11">
        <v>8</v>
      </c>
      <c r="G11" s="19" t="s">
        <v>228</v>
      </c>
      <c r="H11" s="19">
        <v>0</v>
      </c>
      <c r="I11" s="9">
        <f t="shared" si="0"/>
        <v>0</v>
      </c>
      <c r="J11" s="9">
        <f t="shared" si="1"/>
        <v>0</v>
      </c>
      <c r="K11" s="9">
        <f t="shared" si="2"/>
        <v>0</v>
      </c>
      <c r="L11" s="9">
        <f t="shared" si="3"/>
        <v>0</v>
      </c>
      <c r="M11" s="9">
        <f t="shared" si="4"/>
        <v>0</v>
      </c>
      <c r="N11" s="11" t="s">
        <v>134</v>
      </c>
      <c r="O11" s="9">
        <f t="shared" si="5"/>
        <v>0</v>
      </c>
      <c r="P11" s="9">
        <f t="shared" si="6"/>
        <v>0</v>
      </c>
      <c r="Q11" s="9">
        <f t="shared" si="7"/>
        <v>0</v>
      </c>
      <c r="R11" s="16">
        <v>0</v>
      </c>
      <c r="S11" s="9">
        <f t="shared" si="8"/>
        <v>0</v>
      </c>
      <c r="T11" s="9">
        <f t="shared" si="9"/>
        <v>0</v>
      </c>
      <c r="U11" s="9">
        <f t="shared" si="10"/>
        <v>-10</v>
      </c>
      <c r="V11" s="9">
        <f t="shared" si="11"/>
        <v>-0.17453292519943295</v>
      </c>
      <c r="W11" s="9">
        <f t="shared" si="12"/>
        <v>3.7277054299759933</v>
      </c>
      <c r="X11" s="11" t="s">
        <v>87</v>
      </c>
      <c r="Y11" s="9">
        <f t="shared" si="13"/>
        <v>10</v>
      </c>
      <c r="Z11" s="9">
        <f t="shared" si="14"/>
        <v>0.17453292519943295</v>
      </c>
      <c r="AA11" s="9">
        <f t="shared" si="15"/>
        <v>3.7277054299759933</v>
      </c>
    </row>
    <row r="12" spans="1:27" x14ac:dyDescent="0.25">
      <c r="A12" t="s">
        <v>281</v>
      </c>
      <c r="C12">
        <v>510</v>
      </c>
      <c r="D12" t="s">
        <v>14</v>
      </c>
      <c r="E12" t="s">
        <v>12</v>
      </c>
      <c r="F12">
        <v>9</v>
      </c>
      <c r="G12" s="19" t="s">
        <v>228</v>
      </c>
      <c r="H12" s="19">
        <v>0</v>
      </c>
      <c r="I12" s="9">
        <f t="shared" si="0"/>
        <v>0</v>
      </c>
      <c r="J12" s="9">
        <f t="shared" si="1"/>
        <v>0</v>
      </c>
      <c r="K12" s="9">
        <f t="shared" si="2"/>
        <v>0</v>
      </c>
      <c r="L12" s="9">
        <f t="shared" si="3"/>
        <v>0</v>
      </c>
      <c r="M12" s="9">
        <f t="shared" si="4"/>
        <v>0</v>
      </c>
      <c r="N12" s="11" t="s">
        <v>135</v>
      </c>
      <c r="O12" s="9">
        <f t="shared" si="5"/>
        <v>0</v>
      </c>
      <c r="P12" s="9">
        <f t="shared" si="6"/>
        <v>0</v>
      </c>
      <c r="Q12" s="9">
        <f t="shared" si="7"/>
        <v>0</v>
      </c>
      <c r="R12" s="16">
        <v>-15</v>
      </c>
      <c r="S12" s="9">
        <f t="shared" si="8"/>
        <v>-0.26179938779914941</v>
      </c>
      <c r="T12" s="9">
        <f t="shared" si="9"/>
        <v>5.5560684412158121</v>
      </c>
      <c r="U12" s="9">
        <f t="shared" si="10"/>
        <v>-25</v>
      </c>
      <c r="V12" s="9">
        <f t="shared" si="11"/>
        <v>-0.43633231299858238</v>
      </c>
      <c r="W12" s="9">
        <f t="shared" si="12"/>
        <v>9.0723462247875943</v>
      </c>
      <c r="X12" s="11" t="s">
        <v>88</v>
      </c>
      <c r="Y12" s="9">
        <f t="shared" si="13"/>
        <v>-5</v>
      </c>
      <c r="Z12" s="9">
        <f t="shared" si="14"/>
        <v>-8.7266462599716474E-2</v>
      </c>
      <c r="AA12" s="9">
        <f t="shared" si="15"/>
        <v>1.8709723295639777</v>
      </c>
    </row>
    <row r="13" spans="1:27" x14ac:dyDescent="0.25">
      <c r="A13" t="s">
        <v>306</v>
      </c>
      <c r="C13">
        <v>536</v>
      </c>
      <c r="D13" t="s">
        <v>14</v>
      </c>
      <c r="E13" t="s">
        <v>13</v>
      </c>
      <c r="F13">
        <v>10</v>
      </c>
      <c r="G13" s="19" t="s">
        <v>228</v>
      </c>
      <c r="H13" s="19">
        <v>0</v>
      </c>
      <c r="I13" s="9">
        <f t="shared" si="0"/>
        <v>0</v>
      </c>
      <c r="J13" s="9">
        <f t="shared" si="1"/>
        <v>0</v>
      </c>
      <c r="K13" s="9">
        <f t="shared" si="2"/>
        <v>0</v>
      </c>
      <c r="L13" s="9">
        <f t="shared" si="3"/>
        <v>0</v>
      </c>
      <c r="M13" s="9">
        <f t="shared" si="4"/>
        <v>0</v>
      </c>
      <c r="N13" s="11" t="s">
        <v>136</v>
      </c>
      <c r="O13" s="9">
        <f t="shared" si="5"/>
        <v>0</v>
      </c>
      <c r="P13" s="9">
        <f t="shared" si="6"/>
        <v>0</v>
      </c>
      <c r="Q13" s="9">
        <f t="shared" si="7"/>
        <v>0</v>
      </c>
      <c r="R13" s="16">
        <v>0</v>
      </c>
      <c r="S13" s="9">
        <f t="shared" si="8"/>
        <v>0</v>
      </c>
      <c r="T13" s="9">
        <f t="shared" si="9"/>
        <v>0</v>
      </c>
      <c r="U13" s="9">
        <f t="shared" si="10"/>
        <v>-10</v>
      </c>
      <c r="V13" s="9">
        <f t="shared" si="11"/>
        <v>-0.17453292519943295</v>
      </c>
      <c r="W13" s="9">
        <f t="shared" si="12"/>
        <v>3.7277054299759933</v>
      </c>
      <c r="X13" s="11" t="s">
        <v>89</v>
      </c>
      <c r="Y13" s="9">
        <f t="shared" si="13"/>
        <v>10</v>
      </c>
      <c r="Z13" s="9">
        <f t="shared" si="14"/>
        <v>0.17453292519943295</v>
      </c>
      <c r="AA13" s="9">
        <f t="shared" si="15"/>
        <v>3.7277054299759933</v>
      </c>
    </row>
    <row r="14" spans="1:27" x14ac:dyDescent="0.25">
      <c r="A14" t="s">
        <v>282</v>
      </c>
      <c r="C14">
        <v>1969</v>
      </c>
      <c r="D14" t="s">
        <v>15</v>
      </c>
      <c r="E14" t="s">
        <v>16</v>
      </c>
      <c r="F14">
        <v>11</v>
      </c>
      <c r="G14" s="19" t="s">
        <v>229</v>
      </c>
      <c r="H14" s="19">
        <v>-9</v>
      </c>
      <c r="I14" s="9">
        <f t="shared" si="0"/>
        <v>-0.15707963267948966</v>
      </c>
      <c r="J14" s="9">
        <f t="shared" si="1"/>
        <v>3.3581786610186359</v>
      </c>
      <c r="K14" s="9">
        <f t="shared" si="2"/>
        <v>-19</v>
      </c>
      <c r="L14" s="9">
        <f t="shared" si="3"/>
        <v>-0.33161255787892263</v>
      </c>
      <c r="M14" s="9">
        <f t="shared" si="4"/>
        <v>6.9889715717317822</v>
      </c>
      <c r="N14" s="11" t="s">
        <v>137</v>
      </c>
      <c r="O14" s="9">
        <f t="shared" si="5"/>
        <v>1</v>
      </c>
      <c r="P14" s="9">
        <f t="shared" si="6"/>
        <v>1.7453292519943295E-2</v>
      </c>
      <c r="Q14" s="9">
        <f t="shared" si="7"/>
        <v>18.063857630871112</v>
      </c>
      <c r="R14" s="16">
        <v>0</v>
      </c>
      <c r="S14" s="9">
        <f t="shared" si="8"/>
        <v>0</v>
      </c>
      <c r="T14" s="9">
        <f t="shared" si="9"/>
        <v>0</v>
      </c>
      <c r="U14" s="9">
        <f t="shared" si="10"/>
        <v>0</v>
      </c>
      <c r="V14" s="9">
        <f t="shared" si="11"/>
        <v>0</v>
      </c>
      <c r="W14" s="9">
        <f t="shared" si="12"/>
        <v>0</v>
      </c>
      <c r="X14" s="11" t="s">
        <v>90</v>
      </c>
      <c r="Y14" s="9">
        <f t="shared" si="13"/>
        <v>0</v>
      </c>
      <c r="Z14" s="9">
        <f t="shared" si="14"/>
        <v>0</v>
      </c>
      <c r="AA14" s="9">
        <f t="shared" si="15"/>
        <v>0</v>
      </c>
    </row>
    <row r="15" spans="1:27" x14ac:dyDescent="0.25">
      <c r="A15" t="s">
        <v>307</v>
      </c>
      <c r="C15">
        <v>1960</v>
      </c>
      <c r="D15" t="s">
        <v>15</v>
      </c>
      <c r="E15" t="s">
        <v>11</v>
      </c>
      <c r="F15">
        <v>12</v>
      </c>
      <c r="G15" s="19" t="s">
        <v>228</v>
      </c>
      <c r="H15" s="19">
        <v>0</v>
      </c>
      <c r="I15" s="9">
        <f t="shared" si="0"/>
        <v>0</v>
      </c>
      <c r="J15" s="9">
        <f t="shared" si="1"/>
        <v>0</v>
      </c>
      <c r="K15" s="9">
        <f t="shared" si="2"/>
        <v>0</v>
      </c>
      <c r="L15" s="9">
        <f t="shared" si="3"/>
        <v>0</v>
      </c>
      <c r="M15" s="9">
        <f t="shared" si="4"/>
        <v>0</v>
      </c>
      <c r="N15" s="11" t="s">
        <v>138</v>
      </c>
      <c r="O15" s="9">
        <f t="shared" si="5"/>
        <v>0</v>
      </c>
      <c r="P15" s="9">
        <f t="shared" si="6"/>
        <v>0</v>
      </c>
      <c r="Q15" s="9">
        <f t="shared" si="7"/>
        <v>0</v>
      </c>
      <c r="R15" s="16">
        <v>0</v>
      </c>
      <c r="S15" s="9">
        <f t="shared" si="8"/>
        <v>0</v>
      </c>
      <c r="T15" s="9">
        <f t="shared" si="9"/>
        <v>0</v>
      </c>
      <c r="U15" s="9">
        <f t="shared" si="10"/>
        <v>-10</v>
      </c>
      <c r="V15" s="9">
        <f t="shared" si="11"/>
        <v>-0.17453292519943295</v>
      </c>
      <c r="W15" s="9">
        <f t="shared" si="12"/>
        <v>3.7277054299759933</v>
      </c>
      <c r="X15" s="11" t="s">
        <v>91</v>
      </c>
      <c r="Y15" s="9">
        <f t="shared" si="13"/>
        <v>10</v>
      </c>
      <c r="Z15" s="9">
        <f t="shared" si="14"/>
        <v>0.17453292519943295</v>
      </c>
      <c r="AA15" s="9">
        <f t="shared" si="15"/>
        <v>3.7277054299759933</v>
      </c>
    </row>
    <row r="16" spans="1:27" x14ac:dyDescent="0.25">
      <c r="A16" t="s">
        <v>283</v>
      </c>
      <c r="C16">
        <v>2431</v>
      </c>
      <c r="D16" t="s">
        <v>15</v>
      </c>
      <c r="E16" t="s">
        <v>350</v>
      </c>
      <c r="F16">
        <v>13</v>
      </c>
      <c r="G16" s="19" t="s">
        <v>229</v>
      </c>
      <c r="H16" s="19">
        <v>-0.5</v>
      </c>
      <c r="I16" s="9">
        <f t="shared" si="0"/>
        <v>-8.7266462599716477E-3</v>
      </c>
      <c r="J16" s="9">
        <f t="shared" si="1"/>
        <v>0.18733253754359325</v>
      </c>
      <c r="K16" s="9">
        <f t="shared" si="2"/>
        <v>-10.5</v>
      </c>
      <c r="L16" s="9">
        <f t="shared" si="3"/>
        <v>-0.18325957145940461</v>
      </c>
      <c r="M16" s="9">
        <f t="shared" si="4"/>
        <v>3.9120500257399295</v>
      </c>
      <c r="N16" s="11" t="s">
        <v>139</v>
      </c>
      <c r="O16" s="9">
        <f t="shared" si="5"/>
        <v>9.5</v>
      </c>
      <c r="P16" s="9">
        <f t="shared" si="6"/>
        <v>0.16580627893946132</v>
      </c>
      <c r="Q16" s="9">
        <f t="shared" si="7"/>
        <v>-1.6132691029536601</v>
      </c>
      <c r="R16" s="16">
        <v>0</v>
      </c>
      <c r="S16" s="9">
        <f t="shared" si="8"/>
        <v>0</v>
      </c>
      <c r="T16" s="9">
        <f t="shared" si="9"/>
        <v>0</v>
      </c>
      <c r="U16" s="9">
        <f t="shared" si="10"/>
        <v>0</v>
      </c>
      <c r="V16" s="9">
        <f t="shared" si="11"/>
        <v>0</v>
      </c>
      <c r="W16" s="9">
        <f t="shared" si="12"/>
        <v>0</v>
      </c>
      <c r="X16" s="11" t="s">
        <v>92</v>
      </c>
      <c r="Y16" s="9">
        <f t="shared" si="13"/>
        <v>0</v>
      </c>
      <c r="Z16" s="9">
        <f t="shared" si="14"/>
        <v>0</v>
      </c>
      <c r="AA16" s="9">
        <f t="shared" si="15"/>
        <v>0</v>
      </c>
    </row>
    <row r="17" spans="1:27" x14ac:dyDescent="0.25">
      <c r="A17" t="s">
        <v>308</v>
      </c>
      <c r="C17">
        <v>1966</v>
      </c>
      <c r="D17" t="s">
        <v>15</v>
      </c>
      <c r="E17" t="s">
        <v>351</v>
      </c>
      <c r="F17">
        <v>14</v>
      </c>
      <c r="G17" s="19" t="s">
        <v>229</v>
      </c>
      <c r="H17" s="19">
        <v>-0.5</v>
      </c>
      <c r="I17" s="9">
        <f t="shared" si="0"/>
        <v>-8.7266462599716477E-3</v>
      </c>
      <c r="J17" s="9">
        <f t="shared" si="1"/>
        <v>0.18733253754359325</v>
      </c>
      <c r="K17" s="9">
        <f t="shared" si="2"/>
        <v>-10.5</v>
      </c>
      <c r="L17" s="9">
        <f t="shared" si="3"/>
        <v>-0.18325957145940461</v>
      </c>
      <c r="M17" s="9">
        <f t="shared" si="4"/>
        <v>3.9120500257399295</v>
      </c>
      <c r="N17" s="11" t="s">
        <v>140</v>
      </c>
      <c r="O17" s="9">
        <f t="shared" si="5"/>
        <v>9.5</v>
      </c>
      <c r="P17" s="9">
        <f t="shared" si="6"/>
        <v>0.16580627893946132</v>
      </c>
      <c r="Q17" s="9">
        <f t="shared" si="7"/>
        <v>-1.6132691029536601</v>
      </c>
      <c r="R17" s="16">
        <v>0</v>
      </c>
      <c r="S17" s="9">
        <f t="shared" si="8"/>
        <v>0</v>
      </c>
      <c r="T17" s="9">
        <f t="shared" si="9"/>
        <v>0</v>
      </c>
      <c r="U17" s="9">
        <f t="shared" si="10"/>
        <v>0</v>
      </c>
      <c r="V17" s="9">
        <f t="shared" si="11"/>
        <v>0</v>
      </c>
      <c r="W17" s="9">
        <f t="shared" si="12"/>
        <v>0</v>
      </c>
      <c r="X17" s="11" t="s">
        <v>93</v>
      </c>
      <c r="Y17" s="9">
        <f t="shared" si="13"/>
        <v>0</v>
      </c>
      <c r="Z17" s="9">
        <f t="shared" si="14"/>
        <v>0</v>
      </c>
      <c r="AA17" s="9">
        <f t="shared" si="15"/>
        <v>0</v>
      </c>
    </row>
    <row r="18" spans="1:27" x14ac:dyDescent="0.25">
      <c r="B18" t="s">
        <v>320</v>
      </c>
      <c r="C18">
        <v>1961</v>
      </c>
      <c r="D18" t="s">
        <v>15</v>
      </c>
      <c r="E18" t="s">
        <v>13</v>
      </c>
      <c r="F18">
        <v>15</v>
      </c>
      <c r="G18" s="19" t="s">
        <v>228</v>
      </c>
      <c r="H18" s="25">
        <v>0</v>
      </c>
      <c r="I18" s="19"/>
      <c r="J18" s="9"/>
      <c r="K18" s="9"/>
      <c r="L18" s="19"/>
      <c r="M18" s="9"/>
      <c r="N18" s="20"/>
      <c r="O18" s="9"/>
      <c r="P18" s="9"/>
      <c r="Q18" s="9"/>
      <c r="R18" s="16"/>
      <c r="S18" s="9"/>
      <c r="T18" s="9"/>
      <c r="U18" s="9"/>
      <c r="V18" s="9"/>
      <c r="W18" s="9"/>
      <c r="X18" s="11"/>
      <c r="Y18" s="9"/>
      <c r="Z18" s="9"/>
      <c r="AA18" s="9"/>
    </row>
    <row r="19" spans="1:27" x14ac:dyDescent="0.25">
      <c r="A19" t="s">
        <v>284</v>
      </c>
      <c r="C19">
        <v>2411</v>
      </c>
      <c r="D19" t="s">
        <v>15</v>
      </c>
      <c r="E19" t="s">
        <v>21</v>
      </c>
      <c r="F19">
        <v>16</v>
      </c>
      <c r="G19" s="19" t="s">
        <v>229</v>
      </c>
      <c r="H19" s="19">
        <v>-0.5</v>
      </c>
      <c r="I19" s="9">
        <f t="shared" si="0"/>
        <v>-8.7266462599716477E-3</v>
      </c>
      <c r="J19" s="9">
        <f t="shared" si="1"/>
        <v>0.18733253754359325</v>
      </c>
      <c r="K19" s="9">
        <f t="shared" si="2"/>
        <v>-10.5</v>
      </c>
      <c r="L19" s="9">
        <f t="shared" si="3"/>
        <v>-0.18325957145940461</v>
      </c>
      <c r="M19" s="9">
        <f t="shared" si="4"/>
        <v>3.9120500257399295</v>
      </c>
      <c r="N19" s="11" t="s">
        <v>141</v>
      </c>
      <c r="O19" s="9">
        <f t="shared" si="5"/>
        <v>9.5</v>
      </c>
      <c r="P19" s="9">
        <f t="shared" si="6"/>
        <v>0.16580627893946132</v>
      </c>
      <c r="Q19" s="9">
        <f t="shared" si="7"/>
        <v>-1.6132691029536601</v>
      </c>
      <c r="R19" s="16">
        <v>10</v>
      </c>
      <c r="S19" s="9">
        <f t="shared" si="8"/>
        <v>0.17453292519943295</v>
      </c>
      <c r="T19" s="9">
        <f t="shared" si="9"/>
        <v>3.7277054299759933</v>
      </c>
      <c r="U19" s="9">
        <f t="shared" si="10"/>
        <v>10</v>
      </c>
      <c r="V19" s="9">
        <f t="shared" si="11"/>
        <v>0.17453292519943295</v>
      </c>
      <c r="W19" s="9">
        <f t="shared" si="12"/>
        <v>3.7277054299759933</v>
      </c>
      <c r="X19" s="11" t="s">
        <v>94</v>
      </c>
      <c r="Y19" s="9">
        <f t="shared" si="13"/>
        <v>10</v>
      </c>
      <c r="Z19" s="9">
        <f t="shared" si="14"/>
        <v>0.17453292519943295</v>
      </c>
      <c r="AA19" s="9">
        <f t="shared" si="15"/>
        <v>3.7277054299759933</v>
      </c>
    </row>
    <row r="20" spans="1:27" x14ac:dyDescent="0.25">
      <c r="A20" t="s">
        <v>309</v>
      </c>
      <c r="C20">
        <v>2024</v>
      </c>
      <c r="D20" t="s">
        <v>17</v>
      </c>
      <c r="E20" t="s">
        <v>16</v>
      </c>
      <c r="F20">
        <v>17</v>
      </c>
      <c r="G20" s="19" t="s">
        <v>228</v>
      </c>
      <c r="H20" s="19">
        <v>0</v>
      </c>
      <c r="I20" s="9">
        <f t="shared" si="0"/>
        <v>0</v>
      </c>
      <c r="J20" s="9">
        <f t="shared" si="1"/>
        <v>0</v>
      </c>
      <c r="K20" s="9">
        <f t="shared" si="2"/>
        <v>0</v>
      </c>
      <c r="L20" s="9">
        <f t="shared" si="3"/>
        <v>0</v>
      </c>
      <c r="M20" s="9">
        <f t="shared" si="4"/>
        <v>0</v>
      </c>
      <c r="N20" s="11" t="s">
        <v>142</v>
      </c>
      <c r="O20" s="9">
        <f t="shared" si="5"/>
        <v>0</v>
      </c>
      <c r="P20" s="9">
        <f t="shared" si="6"/>
        <v>0</v>
      </c>
      <c r="Q20" s="9">
        <f t="shared" si="7"/>
        <v>0</v>
      </c>
      <c r="R20" s="16">
        <v>0</v>
      </c>
      <c r="S20" s="9">
        <f t="shared" si="8"/>
        <v>0</v>
      </c>
      <c r="T20" s="9">
        <f t="shared" si="9"/>
        <v>0</v>
      </c>
      <c r="U20" s="9">
        <f t="shared" si="10"/>
        <v>-10</v>
      </c>
      <c r="V20" s="9">
        <f t="shared" si="11"/>
        <v>-0.17453292519943295</v>
      </c>
      <c r="W20" s="9">
        <f t="shared" si="12"/>
        <v>3.7277054299759933</v>
      </c>
      <c r="X20" s="11" t="s">
        <v>95</v>
      </c>
      <c r="Y20" s="9">
        <f t="shared" si="13"/>
        <v>10</v>
      </c>
      <c r="Z20" s="9">
        <f t="shared" si="14"/>
        <v>0.17453292519943295</v>
      </c>
      <c r="AA20" s="9">
        <f t="shared" si="15"/>
        <v>3.7277054299759933</v>
      </c>
    </row>
    <row r="21" spans="1:27" x14ac:dyDescent="0.25">
      <c r="A21" t="s">
        <v>310</v>
      </c>
      <c r="C21">
        <v>2014</v>
      </c>
      <c r="D21" t="s">
        <v>17</v>
      </c>
      <c r="E21" t="s">
        <v>11</v>
      </c>
      <c r="F21">
        <v>18</v>
      </c>
      <c r="G21" s="19" t="s">
        <v>228</v>
      </c>
      <c r="H21" s="19">
        <v>0</v>
      </c>
      <c r="I21" s="9">
        <f t="shared" si="0"/>
        <v>0</v>
      </c>
      <c r="J21" s="9">
        <f t="shared" si="1"/>
        <v>0</v>
      </c>
      <c r="K21" s="9">
        <f t="shared" si="2"/>
        <v>0</v>
      </c>
      <c r="L21" s="9">
        <f t="shared" si="3"/>
        <v>0</v>
      </c>
      <c r="M21" s="9">
        <f t="shared" si="4"/>
        <v>0</v>
      </c>
      <c r="N21" s="11" t="s">
        <v>143</v>
      </c>
      <c r="O21" s="9">
        <f t="shared" si="5"/>
        <v>0</v>
      </c>
      <c r="P21" s="9">
        <f t="shared" si="6"/>
        <v>0</v>
      </c>
      <c r="Q21" s="9">
        <f t="shared" si="7"/>
        <v>0</v>
      </c>
      <c r="R21" s="16">
        <v>0</v>
      </c>
      <c r="S21" s="9">
        <f t="shared" si="8"/>
        <v>0</v>
      </c>
      <c r="T21" s="9">
        <f t="shared" si="9"/>
        <v>0</v>
      </c>
      <c r="U21" s="9">
        <f t="shared" si="10"/>
        <v>-10</v>
      </c>
      <c r="V21" s="9">
        <f t="shared" si="11"/>
        <v>-0.17453292519943295</v>
      </c>
      <c r="W21" s="9">
        <f t="shared" si="12"/>
        <v>3.7277054299759933</v>
      </c>
      <c r="X21" s="11" t="s">
        <v>96</v>
      </c>
      <c r="Y21" s="9">
        <f t="shared" si="13"/>
        <v>10</v>
      </c>
      <c r="Z21" s="9">
        <f t="shared" si="14"/>
        <v>0.17453292519943295</v>
      </c>
      <c r="AA21" s="9">
        <f t="shared" si="15"/>
        <v>3.7277054299759933</v>
      </c>
    </row>
    <row r="22" spans="1:27" x14ac:dyDescent="0.25">
      <c r="A22" t="s">
        <v>285</v>
      </c>
      <c r="C22">
        <v>2027</v>
      </c>
      <c r="D22" t="s">
        <v>17</v>
      </c>
      <c r="E22" t="s">
        <v>13</v>
      </c>
      <c r="F22">
        <v>19</v>
      </c>
      <c r="G22" s="19" t="s">
        <v>228</v>
      </c>
      <c r="H22" s="19">
        <v>0</v>
      </c>
      <c r="I22" s="9">
        <f t="shared" si="0"/>
        <v>0</v>
      </c>
      <c r="J22" s="9">
        <f t="shared" si="1"/>
        <v>0</v>
      </c>
      <c r="K22" s="9">
        <f t="shared" si="2"/>
        <v>0</v>
      </c>
      <c r="L22" s="9">
        <f t="shared" si="3"/>
        <v>0</v>
      </c>
      <c r="M22" s="9">
        <f t="shared" si="4"/>
        <v>0</v>
      </c>
      <c r="N22" s="11" t="s">
        <v>144</v>
      </c>
      <c r="O22" s="9">
        <f t="shared" si="5"/>
        <v>0</v>
      </c>
      <c r="P22" s="9">
        <f t="shared" si="6"/>
        <v>0</v>
      </c>
      <c r="Q22" s="9">
        <f t="shared" si="7"/>
        <v>0</v>
      </c>
      <c r="R22" s="16">
        <v>-10</v>
      </c>
      <c r="S22" s="9">
        <f t="shared" si="8"/>
        <v>-0.17453292519943295</v>
      </c>
      <c r="T22" s="9">
        <f t="shared" si="9"/>
        <v>3.7277054299759933</v>
      </c>
      <c r="U22" s="9">
        <f t="shared" si="10"/>
        <v>-20</v>
      </c>
      <c r="V22" s="9">
        <f t="shared" si="11"/>
        <v>-0.3490658503988659</v>
      </c>
      <c r="W22" s="9">
        <f t="shared" si="12"/>
        <v>7.3421464167721302</v>
      </c>
      <c r="X22" s="11" t="s">
        <v>97</v>
      </c>
      <c r="Y22" s="9">
        <f t="shared" si="13"/>
        <v>0</v>
      </c>
      <c r="Z22" s="9">
        <f t="shared" si="14"/>
        <v>0</v>
      </c>
      <c r="AA22" s="9">
        <f t="shared" si="15"/>
        <v>0</v>
      </c>
    </row>
    <row r="23" spans="1:27" x14ac:dyDescent="0.25">
      <c r="A23" t="s">
        <v>311</v>
      </c>
      <c r="C23">
        <v>2080</v>
      </c>
      <c r="D23" t="s">
        <v>18</v>
      </c>
      <c r="E23" t="s">
        <v>16</v>
      </c>
      <c r="F23">
        <v>20</v>
      </c>
      <c r="G23" s="19" t="s">
        <v>228</v>
      </c>
      <c r="H23" s="19">
        <v>0</v>
      </c>
      <c r="I23" s="9">
        <f t="shared" si="0"/>
        <v>0</v>
      </c>
      <c r="J23" s="9">
        <f t="shared" si="1"/>
        <v>0</v>
      </c>
      <c r="K23" s="9">
        <f t="shared" si="2"/>
        <v>0</v>
      </c>
      <c r="L23" s="9">
        <f t="shared" si="3"/>
        <v>0</v>
      </c>
      <c r="M23" s="9">
        <f t="shared" si="4"/>
        <v>0</v>
      </c>
      <c r="N23" s="11" t="s">
        <v>145</v>
      </c>
      <c r="O23" s="9">
        <f t="shared" si="5"/>
        <v>0</v>
      </c>
      <c r="P23" s="9">
        <f t="shared" si="6"/>
        <v>0</v>
      </c>
      <c r="Q23" s="9">
        <f t="shared" si="7"/>
        <v>0</v>
      </c>
      <c r="R23" s="16">
        <v>0</v>
      </c>
      <c r="S23" s="9">
        <f t="shared" si="8"/>
        <v>0</v>
      </c>
      <c r="T23" s="9">
        <f t="shared" si="9"/>
        <v>0</v>
      </c>
      <c r="U23" s="9">
        <f t="shared" si="10"/>
        <v>-10</v>
      </c>
      <c r="V23" s="9">
        <f t="shared" si="11"/>
        <v>-0.17453292519943295</v>
      </c>
      <c r="W23" s="9">
        <f t="shared" si="12"/>
        <v>3.7277054299759933</v>
      </c>
      <c r="X23" s="11" t="s">
        <v>98</v>
      </c>
      <c r="Y23" s="9">
        <f t="shared" si="13"/>
        <v>10</v>
      </c>
      <c r="Z23" s="9">
        <f t="shared" si="14"/>
        <v>0.17453292519943295</v>
      </c>
      <c r="AA23" s="9">
        <f t="shared" si="15"/>
        <v>3.7277054299759933</v>
      </c>
    </row>
    <row r="24" spans="1:27" x14ac:dyDescent="0.25">
      <c r="A24" t="s">
        <v>312</v>
      </c>
      <c r="C24">
        <v>2418</v>
      </c>
      <c r="D24" t="s">
        <v>18</v>
      </c>
      <c r="E24" t="s">
        <v>13</v>
      </c>
      <c r="F24">
        <v>21</v>
      </c>
      <c r="G24" s="19" t="s">
        <v>228</v>
      </c>
      <c r="H24" s="19">
        <v>0</v>
      </c>
      <c r="I24" s="9">
        <f t="shared" si="0"/>
        <v>0</v>
      </c>
      <c r="J24" s="9">
        <f t="shared" si="1"/>
        <v>0</v>
      </c>
      <c r="K24" s="9">
        <f t="shared" si="2"/>
        <v>0</v>
      </c>
      <c r="L24" s="9">
        <f t="shared" si="3"/>
        <v>0</v>
      </c>
      <c r="M24" s="9">
        <f t="shared" si="4"/>
        <v>0</v>
      </c>
      <c r="N24" s="11" t="s">
        <v>146</v>
      </c>
      <c r="O24" s="9">
        <f t="shared" si="5"/>
        <v>0</v>
      </c>
      <c r="P24" s="9">
        <f t="shared" si="6"/>
        <v>0</v>
      </c>
      <c r="Q24" s="9">
        <f t="shared" si="7"/>
        <v>0</v>
      </c>
      <c r="R24" s="16">
        <v>0</v>
      </c>
      <c r="S24" s="9">
        <f t="shared" si="8"/>
        <v>0</v>
      </c>
      <c r="T24" s="9">
        <f t="shared" si="9"/>
        <v>0</v>
      </c>
      <c r="U24" s="9">
        <f t="shared" si="10"/>
        <v>-10</v>
      </c>
      <c r="V24" s="9">
        <f t="shared" si="11"/>
        <v>-0.17453292519943295</v>
      </c>
      <c r="W24" s="9">
        <f t="shared" si="12"/>
        <v>3.7277054299759933</v>
      </c>
      <c r="X24" s="11" t="s">
        <v>99</v>
      </c>
      <c r="Y24" s="9">
        <f t="shared" si="13"/>
        <v>10</v>
      </c>
      <c r="Z24" s="9">
        <f t="shared" si="14"/>
        <v>0.17453292519943295</v>
      </c>
      <c r="AA24" s="9">
        <f t="shared" si="15"/>
        <v>3.7277054299759933</v>
      </c>
    </row>
    <row r="25" spans="1:27" x14ac:dyDescent="0.25">
      <c r="A25" t="s">
        <v>286</v>
      </c>
      <c r="C25">
        <v>2093</v>
      </c>
      <c r="D25" t="s">
        <v>18</v>
      </c>
      <c r="E25" t="s">
        <v>11</v>
      </c>
      <c r="F25">
        <v>22</v>
      </c>
      <c r="G25" s="19" t="s">
        <v>228</v>
      </c>
      <c r="H25" s="19">
        <v>0</v>
      </c>
      <c r="I25" s="9">
        <f t="shared" si="0"/>
        <v>0</v>
      </c>
      <c r="J25" s="9">
        <f t="shared" si="1"/>
        <v>0</v>
      </c>
      <c r="K25" s="9">
        <f t="shared" si="2"/>
        <v>0</v>
      </c>
      <c r="L25" s="9">
        <f t="shared" si="3"/>
        <v>0</v>
      </c>
      <c r="M25" s="9">
        <f t="shared" si="4"/>
        <v>0</v>
      </c>
      <c r="N25" s="11" t="s">
        <v>147</v>
      </c>
      <c r="O25" s="9">
        <f t="shared" si="5"/>
        <v>0</v>
      </c>
      <c r="P25" s="9">
        <f t="shared" si="6"/>
        <v>0</v>
      </c>
      <c r="Q25" s="9">
        <f t="shared" si="7"/>
        <v>0</v>
      </c>
      <c r="R25" s="16">
        <v>0</v>
      </c>
      <c r="S25" s="9">
        <f t="shared" si="8"/>
        <v>0</v>
      </c>
      <c r="T25" s="9">
        <f t="shared" si="9"/>
        <v>0</v>
      </c>
      <c r="U25" s="9">
        <f t="shared" si="10"/>
        <v>-10</v>
      </c>
      <c r="V25" s="9">
        <f t="shared" si="11"/>
        <v>-0.17453292519943295</v>
      </c>
      <c r="W25" s="9">
        <f t="shared" si="12"/>
        <v>3.7277054299759933</v>
      </c>
      <c r="X25" s="11" t="s">
        <v>100</v>
      </c>
      <c r="Y25" s="9">
        <f t="shared" si="13"/>
        <v>10</v>
      </c>
      <c r="Z25" s="9">
        <f t="shared" si="14"/>
        <v>0.17453292519943295</v>
      </c>
      <c r="AA25" s="9">
        <f t="shared" si="15"/>
        <v>3.7277054299759933</v>
      </c>
    </row>
    <row r="26" spans="1:27" x14ac:dyDescent="0.25">
      <c r="A26" t="s">
        <v>287</v>
      </c>
      <c r="C26">
        <v>2233</v>
      </c>
      <c r="D26" t="s">
        <v>19</v>
      </c>
      <c r="E26" t="s">
        <v>20</v>
      </c>
      <c r="F26">
        <v>23</v>
      </c>
      <c r="G26" s="19" t="s">
        <v>229</v>
      </c>
      <c r="H26" s="19">
        <v>-7</v>
      </c>
      <c r="I26" s="9">
        <f t="shared" si="0"/>
        <v>-0.12217304763960307</v>
      </c>
      <c r="J26" s="9">
        <f t="shared" si="1"/>
        <v>2.6161691948783008</v>
      </c>
      <c r="K26" s="9">
        <f t="shared" si="2"/>
        <v>-17</v>
      </c>
      <c r="L26" s="9">
        <f t="shared" si="3"/>
        <v>-0.29670597283903605</v>
      </c>
      <c r="M26" s="9">
        <f t="shared" si="4"/>
        <v>6.2763433852829902</v>
      </c>
      <c r="N26" s="11" t="s">
        <v>148</v>
      </c>
      <c r="O26" s="9">
        <f t="shared" si="5"/>
        <v>3</v>
      </c>
      <c r="P26" s="9">
        <f t="shared" si="6"/>
        <v>5.235987755982989E-2</v>
      </c>
      <c r="Q26" s="9">
        <f t="shared" si="7"/>
        <v>3.0294232130211691</v>
      </c>
      <c r="R26" s="16">
        <v>0</v>
      </c>
      <c r="S26" s="9">
        <f t="shared" si="8"/>
        <v>0</v>
      </c>
      <c r="T26" s="9">
        <f t="shared" si="9"/>
        <v>0</v>
      </c>
      <c r="U26" s="9">
        <f t="shared" si="10"/>
        <v>0</v>
      </c>
      <c r="V26" s="9">
        <f t="shared" si="11"/>
        <v>0</v>
      </c>
      <c r="W26" s="9">
        <f t="shared" si="12"/>
        <v>0</v>
      </c>
      <c r="X26" s="11" t="s">
        <v>101</v>
      </c>
      <c r="Y26" s="9">
        <f t="shared" si="13"/>
        <v>0</v>
      </c>
      <c r="Z26" s="9">
        <f t="shared" si="14"/>
        <v>0</v>
      </c>
      <c r="AA26" s="9">
        <f t="shared" si="15"/>
        <v>0</v>
      </c>
    </row>
    <row r="27" spans="1:27" x14ac:dyDescent="0.25">
      <c r="A27" t="s">
        <v>288</v>
      </c>
      <c r="C27">
        <v>2224</v>
      </c>
      <c r="D27" t="s">
        <v>19</v>
      </c>
      <c r="E27" t="s">
        <v>21</v>
      </c>
      <c r="F27">
        <v>24</v>
      </c>
      <c r="G27" s="19" t="s">
        <v>229</v>
      </c>
      <c r="H27" s="19">
        <v>-7</v>
      </c>
      <c r="I27" s="9">
        <f t="shared" si="0"/>
        <v>-0.12217304763960307</v>
      </c>
      <c r="J27" s="9">
        <f t="shared" si="1"/>
        <v>2.6161691948783008</v>
      </c>
      <c r="K27" s="9">
        <f t="shared" si="2"/>
        <v>-17</v>
      </c>
      <c r="L27" s="9">
        <f t="shared" si="3"/>
        <v>-0.29670597283903605</v>
      </c>
      <c r="M27" s="9">
        <f t="shared" si="4"/>
        <v>6.2763433852829902</v>
      </c>
      <c r="N27" s="11" t="s">
        <v>149</v>
      </c>
      <c r="O27" s="9">
        <f t="shared" si="5"/>
        <v>3</v>
      </c>
      <c r="P27" s="9">
        <f t="shared" si="6"/>
        <v>5.235987755982989E-2</v>
      </c>
      <c r="Q27" s="9">
        <f t="shared" si="7"/>
        <v>3.0294232130211691</v>
      </c>
      <c r="R27" s="16">
        <v>0</v>
      </c>
      <c r="S27" s="9">
        <f t="shared" si="8"/>
        <v>0</v>
      </c>
      <c r="T27" s="9">
        <f t="shared" si="9"/>
        <v>0</v>
      </c>
      <c r="U27" s="9">
        <f t="shared" si="10"/>
        <v>0</v>
      </c>
      <c r="V27" s="9">
        <f t="shared" si="11"/>
        <v>0</v>
      </c>
      <c r="W27" s="9">
        <f t="shared" si="12"/>
        <v>0</v>
      </c>
      <c r="X27" s="11" t="s">
        <v>102</v>
      </c>
      <c r="Y27" s="9">
        <f t="shared" si="13"/>
        <v>0</v>
      </c>
      <c r="Z27" s="9">
        <f t="shared" si="14"/>
        <v>0</v>
      </c>
      <c r="AA27" s="9">
        <f t="shared" si="15"/>
        <v>0</v>
      </c>
    </row>
    <row r="28" spans="1:27" x14ac:dyDescent="0.25">
      <c r="A28" t="s">
        <v>289</v>
      </c>
      <c r="C28">
        <v>2229</v>
      </c>
      <c r="D28" t="s">
        <v>19</v>
      </c>
      <c r="E28" t="s">
        <v>16</v>
      </c>
      <c r="F28">
        <v>25</v>
      </c>
      <c r="G28" s="19" t="s">
        <v>229</v>
      </c>
      <c r="H28" s="22">
        <v>3</v>
      </c>
      <c r="I28" s="23">
        <f t="shared" si="0"/>
        <v>5.235987755982989E-2</v>
      </c>
      <c r="J28" s="9">
        <f t="shared" si="1"/>
        <v>1.1234959726672753</v>
      </c>
      <c r="K28" s="23">
        <f t="shared" si="2"/>
        <v>-7</v>
      </c>
      <c r="L28" s="23">
        <f t="shared" si="3"/>
        <v>-0.12217304763960307</v>
      </c>
      <c r="M28" s="9">
        <f t="shared" si="4"/>
        <v>2.6161691948783008</v>
      </c>
      <c r="N28" s="23" t="s">
        <v>150</v>
      </c>
      <c r="O28" s="23">
        <f t="shared" si="5"/>
        <v>13</v>
      </c>
      <c r="P28" s="23">
        <f t="shared" si="6"/>
        <v>0.22689280275926285</v>
      </c>
      <c r="Q28" s="23">
        <f t="shared" si="7"/>
        <v>9.0197257795575005</v>
      </c>
      <c r="R28" s="24">
        <v>13.5</v>
      </c>
      <c r="S28" s="9">
        <f t="shared" si="8"/>
        <v>0.23561944901923448</v>
      </c>
      <c r="T28" s="9">
        <f t="shared" si="9"/>
        <v>5.0113716258947205</v>
      </c>
      <c r="U28" s="9">
        <f t="shared" si="10"/>
        <v>13.5</v>
      </c>
      <c r="V28" s="9">
        <f t="shared" si="11"/>
        <v>0.23561944901923448</v>
      </c>
      <c r="W28" s="9">
        <f t="shared" si="12"/>
        <v>5.0113716258947205</v>
      </c>
      <c r="X28" s="11" t="s">
        <v>103</v>
      </c>
      <c r="Y28" s="9">
        <f t="shared" si="13"/>
        <v>13.5</v>
      </c>
      <c r="Z28" s="9">
        <f t="shared" si="14"/>
        <v>0.23561944901923448</v>
      </c>
      <c r="AA28" s="9">
        <f t="shared" si="15"/>
        <v>5.0113716258947205</v>
      </c>
    </row>
    <row r="29" spans="1:27" x14ac:dyDescent="0.25">
      <c r="A29" t="s">
        <v>313</v>
      </c>
      <c r="C29">
        <v>2130</v>
      </c>
      <c r="D29" t="s">
        <v>22</v>
      </c>
      <c r="E29" t="s">
        <v>11</v>
      </c>
      <c r="F29">
        <v>26</v>
      </c>
      <c r="G29" s="19" t="s">
        <v>228</v>
      </c>
      <c r="H29" s="22">
        <v>0</v>
      </c>
      <c r="I29" s="23">
        <f t="shared" si="0"/>
        <v>0</v>
      </c>
      <c r="J29" s="9">
        <f t="shared" si="1"/>
        <v>0</v>
      </c>
      <c r="K29" s="23">
        <f t="shared" si="2"/>
        <v>0</v>
      </c>
      <c r="L29" s="23">
        <f t="shared" si="3"/>
        <v>0</v>
      </c>
      <c r="M29" s="9">
        <f t="shared" si="4"/>
        <v>0</v>
      </c>
      <c r="N29" s="23" t="s">
        <v>151</v>
      </c>
      <c r="O29" s="23">
        <f t="shared" si="5"/>
        <v>0</v>
      </c>
      <c r="P29" s="23">
        <f t="shared" si="6"/>
        <v>0</v>
      </c>
      <c r="Q29" s="23">
        <f t="shared" si="7"/>
        <v>0</v>
      </c>
      <c r="R29" s="24">
        <v>0</v>
      </c>
      <c r="S29" s="9">
        <f t="shared" si="8"/>
        <v>0</v>
      </c>
      <c r="T29" s="9">
        <f t="shared" si="9"/>
        <v>0</v>
      </c>
      <c r="U29" s="9">
        <f t="shared" si="10"/>
        <v>-10</v>
      </c>
      <c r="V29" s="9">
        <f t="shared" si="11"/>
        <v>-0.17453292519943295</v>
      </c>
      <c r="W29" s="9">
        <f t="shared" si="12"/>
        <v>3.7277054299759933</v>
      </c>
      <c r="X29" s="11" t="s">
        <v>104</v>
      </c>
      <c r="Y29" s="9">
        <f t="shared" si="13"/>
        <v>10</v>
      </c>
      <c r="Z29" s="9">
        <f t="shared" si="14"/>
        <v>0.17453292519943295</v>
      </c>
      <c r="AA29" s="9">
        <f t="shared" si="15"/>
        <v>3.7277054299759933</v>
      </c>
    </row>
    <row r="30" spans="1:27" x14ac:dyDescent="0.25">
      <c r="A30" t="s">
        <v>290</v>
      </c>
      <c r="C30">
        <v>2128</v>
      </c>
      <c r="D30" t="s">
        <v>22</v>
      </c>
      <c r="E30" t="s">
        <v>13</v>
      </c>
      <c r="F30">
        <v>27</v>
      </c>
      <c r="G30" s="19" t="s">
        <v>228</v>
      </c>
      <c r="H30" s="22">
        <v>0</v>
      </c>
      <c r="I30" s="23">
        <f t="shared" si="0"/>
        <v>0</v>
      </c>
      <c r="J30" s="9">
        <f t="shared" si="1"/>
        <v>0</v>
      </c>
      <c r="K30" s="23">
        <f t="shared" si="2"/>
        <v>0</v>
      </c>
      <c r="L30" s="23">
        <f t="shared" si="3"/>
        <v>0</v>
      </c>
      <c r="M30" s="9">
        <f t="shared" si="4"/>
        <v>0</v>
      </c>
      <c r="N30" s="23" t="s">
        <v>152</v>
      </c>
      <c r="O30" s="23">
        <f t="shared" si="5"/>
        <v>0</v>
      </c>
      <c r="P30" s="23">
        <f t="shared" si="6"/>
        <v>0</v>
      </c>
      <c r="Q30" s="23">
        <f t="shared" si="7"/>
        <v>0</v>
      </c>
      <c r="R30" s="24">
        <v>-13.5</v>
      </c>
      <c r="S30" s="9">
        <f t="shared" si="8"/>
        <v>-0.23561944901923448</v>
      </c>
      <c r="T30" s="9">
        <f t="shared" si="9"/>
        <v>5.0113716258947205</v>
      </c>
      <c r="U30" s="9">
        <f t="shared" si="10"/>
        <v>-23.5</v>
      </c>
      <c r="V30" s="9">
        <f t="shared" si="11"/>
        <v>-0.41015237421866746</v>
      </c>
      <c r="W30" s="9">
        <f t="shared" si="12"/>
        <v>8.5599462626182596</v>
      </c>
      <c r="X30" s="11" t="s">
        <v>105</v>
      </c>
      <c r="Y30" s="9">
        <f t="shared" si="13"/>
        <v>-3.5</v>
      </c>
      <c r="Z30" s="9">
        <f t="shared" si="14"/>
        <v>-6.1086523819801536E-2</v>
      </c>
      <c r="AA30" s="9">
        <f t="shared" si="15"/>
        <v>1.3105289981947723</v>
      </c>
    </row>
    <row r="31" spans="1:27" x14ac:dyDescent="0.25">
      <c r="A31" t="s">
        <v>314</v>
      </c>
      <c r="C31">
        <v>2175</v>
      </c>
      <c r="D31" t="s">
        <v>23</v>
      </c>
      <c r="E31" t="s">
        <v>13</v>
      </c>
      <c r="F31">
        <v>28</v>
      </c>
      <c r="G31" s="19" t="s">
        <v>228</v>
      </c>
      <c r="H31" s="22">
        <v>0</v>
      </c>
      <c r="I31" s="23">
        <f t="shared" si="0"/>
        <v>0</v>
      </c>
      <c r="J31" s="9">
        <f t="shared" si="1"/>
        <v>0</v>
      </c>
      <c r="K31" s="23">
        <f t="shared" si="2"/>
        <v>0</v>
      </c>
      <c r="L31" s="23">
        <f t="shared" si="3"/>
        <v>0</v>
      </c>
      <c r="M31" s="9">
        <f t="shared" si="4"/>
        <v>0</v>
      </c>
      <c r="N31" s="23" t="s">
        <v>153</v>
      </c>
      <c r="O31" s="23">
        <f t="shared" si="5"/>
        <v>0</v>
      </c>
      <c r="P31" s="23">
        <f t="shared" si="6"/>
        <v>0</v>
      </c>
      <c r="Q31" s="23">
        <f t="shared" si="7"/>
        <v>0</v>
      </c>
      <c r="R31" s="24">
        <v>0</v>
      </c>
      <c r="S31" s="9">
        <f t="shared" si="8"/>
        <v>0</v>
      </c>
      <c r="T31" s="9">
        <f t="shared" si="9"/>
        <v>0</v>
      </c>
      <c r="U31" s="9">
        <f t="shared" si="10"/>
        <v>-10</v>
      </c>
      <c r="V31" s="9">
        <f t="shared" si="11"/>
        <v>-0.17453292519943295</v>
      </c>
      <c r="W31" s="9">
        <f t="shared" si="12"/>
        <v>3.7277054299759933</v>
      </c>
      <c r="X31" s="11" t="s">
        <v>106</v>
      </c>
      <c r="Y31" s="9">
        <f t="shared" si="13"/>
        <v>10</v>
      </c>
      <c r="Z31" s="9">
        <f t="shared" si="14"/>
        <v>0.17453292519943295</v>
      </c>
      <c r="AA31" s="9">
        <f t="shared" si="15"/>
        <v>3.7277054299759933</v>
      </c>
    </row>
    <row r="32" spans="1:27" x14ac:dyDescent="0.25">
      <c r="A32" t="s">
        <v>291</v>
      </c>
      <c r="C32">
        <v>2171</v>
      </c>
      <c r="D32" t="s">
        <v>23</v>
      </c>
      <c r="E32" t="s">
        <v>11</v>
      </c>
      <c r="F32">
        <v>29</v>
      </c>
      <c r="G32" s="19" t="s">
        <v>228</v>
      </c>
      <c r="H32" s="19">
        <v>0</v>
      </c>
      <c r="I32" s="9">
        <f t="shared" si="0"/>
        <v>0</v>
      </c>
      <c r="J32" s="9">
        <f t="shared" si="1"/>
        <v>0</v>
      </c>
      <c r="K32" s="9">
        <f t="shared" si="2"/>
        <v>0</v>
      </c>
      <c r="L32" s="9">
        <f t="shared" si="3"/>
        <v>0</v>
      </c>
      <c r="M32" s="9">
        <f t="shared" si="4"/>
        <v>0</v>
      </c>
      <c r="N32" s="9" t="s">
        <v>154</v>
      </c>
      <c r="O32" s="9">
        <f t="shared" si="5"/>
        <v>0</v>
      </c>
      <c r="P32" s="9">
        <f t="shared" si="6"/>
        <v>0</v>
      </c>
      <c r="Q32" s="9">
        <f t="shared" si="7"/>
        <v>0</v>
      </c>
      <c r="R32" s="15">
        <v>0</v>
      </c>
      <c r="S32" s="9">
        <f t="shared" si="8"/>
        <v>0</v>
      </c>
      <c r="T32" s="9">
        <f t="shared" si="9"/>
        <v>0</v>
      </c>
      <c r="U32" s="9">
        <f t="shared" si="10"/>
        <v>-10</v>
      </c>
      <c r="V32" s="9">
        <f t="shared" si="11"/>
        <v>-0.17453292519943295</v>
      </c>
      <c r="W32" s="9">
        <f t="shared" si="12"/>
        <v>3.7277054299759933</v>
      </c>
      <c r="X32" s="11" t="s">
        <v>107</v>
      </c>
      <c r="Y32" s="9">
        <f t="shared" si="13"/>
        <v>10</v>
      </c>
      <c r="Z32" s="9">
        <f t="shared" si="14"/>
        <v>0.17453292519943295</v>
      </c>
      <c r="AA32" s="9">
        <f t="shared" si="15"/>
        <v>3.7277054299759933</v>
      </c>
    </row>
    <row r="33" spans="1:27" x14ac:dyDescent="0.25">
      <c r="A33" t="s">
        <v>292</v>
      </c>
      <c r="C33">
        <v>1021</v>
      </c>
      <c r="D33" t="s">
        <v>29</v>
      </c>
      <c r="E33" t="s">
        <v>16</v>
      </c>
      <c r="F33">
        <v>30</v>
      </c>
      <c r="G33" s="19" t="s">
        <v>229</v>
      </c>
      <c r="H33" s="19">
        <v>3</v>
      </c>
      <c r="I33" s="9">
        <f t="shared" si="0"/>
        <v>5.235987755982989E-2</v>
      </c>
      <c r="J33" s="9">
        <f t="shared" si="1"/>
        <v>1.1234959726672753</v>
      </c>
      <c r="K33" s="9">
        <f t="shared" si="2"/>
        <v>-7</v>
      </c>
      <c r="L33" s="9">
        <f t="shared" si="3"/>
        <v>-0.12217304763960307</v>
      </c>
      <c r="M33" s="9">
        <f t="shared" si="4"/>
        <v>2.6161691948783008</v>
      </c>
      <c r="N33" s="9" t="s">
        <v>155</v>
      </c>
      <c r="O33" s="9">
        <f t="shared" si="5"/>
        <v>13</v>
      </c>
      <c r="P33" s="9">
        <f t="shared" si="6"/>
        <v>0.22689280275926285</v>
      </c>
      <c r="Q33" s="9">
        <f t="shared" si="7"/>
        <v>9.0197257795575005</v>
      </c>
      <c r="R33" s="15">
        <v>0</v>
      </c>
      <c r="S33" s="9">
        <f t="shared" si="8"/>
        <v>0</v>
      </c>
      <c r="T33" s="9">
        <f t="shared" si="9"/>
        <v>0</v>
      </c>
      <c r="U33" s="9">
        <f t="shared" si="10"/>
        <v>0</v>
      </c>
      <c r="V33" s="9">
        <f t="shared" si="11"/>
        <v>0</v>
      </c>
      <c r="W33" s="9">
        <f t="shared" si="12"/>
        <v>0</v>
      </c>
      <c r="X33" s="11" t="s">
        <v>108</v>
      </c>
      <c r="Y33" s="9">
        <f t="shared" si="13"/>
        <v>0</v>
      </c>
      <c r="Z33" s="9">
        <f t="shared" si="14"/>
        <v>0</v>
      </c>
      <c r="AA33" s="9">
        <f t="shared" si="15"/>
        <v>0</v>
      </c>
    </row>
    <row r="34" spans="1:27" x14ac:dyDescent="0.25">
      <c r="A34" t="s">
        <v>293</v>
      </c>
      <c r="C34">
        <v>1072</v>
      </c>
      <c r="D34" t="s">
        <v>29</v>
      </c>
      <c r="E34" t="s">
        <v>21</v>
      </c>
      <c r="F34">
        <v>31</v>
      </c>
      <c r="G34" s="19" t="s">
        <v>229</v>
      </c>
      <c r="H34" s="19">
        <v>-7.8</v>
      </c>
      <c r="I34" s="9">
        <f t="shared" si="0"/>
        <v>-0.1361356816555577</v>
      </c>
      <c r="J34" s="9">
        <f t="shared" si="1"/>
        <v>2.9134061934472117</v>
      </c>
      <c r="K34" s="9">
        <f t="shared" si="2"/>
        <v>-17.8</v>
      </c>
      <c r="L34" s="9">
        <f t="shared" si="3"/>
        <v>-0.31066860685499065</v>
      </c>
      <c r="M34" s="9">
        <f t="shared" si="4"/>
        <v>6.5623611116429883</v>
      </c>
      <c r="N34" s="9" t="s">
        <v>156</v>
      </c>
      <c r="O34" s="9">
        <f t="shared" si="5"/>
        <v>2.2000000000000002</v>
      </c>
      <c r="P34" s="9">
        <f t="shared" si="6"/>
        <v>3.8397243543875255E-2</v>
      </c>
      <c r="Q34" s="9">
        <f t="shared" si="7"/>
        <v>17.35599230079514</v>
      </c>
      <c r="R34" s="15">
        <v>0</v>
      </c>
      <c r="S34" s="9">
        <f t="shared" si="8"/>
        <v>0</v>
      </c>
      <c r="T34" s="9">
        <f t="shared" si="9"/>
        <v>0</v>
      </c>
      <c r="U34" s="9">
        <f t="shared" si="10"/>
        <v>0</v>
      </c>
      <c r="V34" s="9">
        <f t="shared" si="11"/>
        <v>0</v>
      </c>
      <c r="W34" s="9">
        <f t="shared" si="12"/>
        <v>0</v>
      </c>
      <c r="X34" s="11" t="s">
        <v>109</v>
      </c>
      <c r="Y34" s="9">
        <f t="shared" si="13"/>
        <v>0</v>
      </c>
      <c r="Z34" s="9">
        <f t="shared" si="14"/>
        <v>0</v>
      </c>
      <c r="AA34" s="9">
        <f t="shared" si="15"/>
        <v>0</v>
      </c>
    </row>
    <row r="35" spans="1:27" x14ac:dyDescent="0.25">
      <c r="A35" t="s">
        <v>294</v>
      </c>
      <c r="C35">
        <v>1176</v>
      </c>
      <c r="D35" t="s">
        <v>30</v>
      </c>
      <c r="E35" t="s">
        <v>20</v>
      </c>
      <c r="F35">
        <v>32</v>
      </c>
      <c r="G35" s="19" t="s">
        <v>229</v>
      </c>
      <c r="H35" s="20">
        <v>-4.8</v>
      </c>
      <c r="I35" s="9">
        <f t="shared" si="0"/>
        <v>-8.377580409572781E-2</v>
      </c>
      <c r="J35" s="9">
        <f t="shared" si="1"/>
        <v>1.7963122628148163</v>
      </c>
      <c r="K35" s="9">
        <f t="shared" si="2"/>
        <v>-14.8</v>
      </c>
      <c r="L35" s="9">
        <f t="shared" si="3"/>
        <v>-0.2583087292951608</v>
      </c>
      <c r="M35" s="9">
        <f t="shared" si="4"/>
        <v>5.4836540856076157</v>
      </c>
      <c r="N35" s="9" t="s">
        <v>157</v>
      </c>
      <c r="O35" s="9">
        <f t="shared" si="5"/>
        <v>5.2</v>
      </c>
      <c r="P35" s="9">
        <f t="shared" si="6"/>
        <v>9.0757121103705138E-2</v>
      </c>
      <c r="Q35" s="9">
        <f t="shared" si="7"/>
        <v>-18.965121094344525</v>
      </c>
      <c r="R35" s="16">
        <v>0</v>
      </c>
      <c r="S35" s="9">
        <f t="shared" si="8"/>
        <v>0</v>
      </c>
      <c r="T35" s="9">
        <f t="shared" si="9"/>
        <v>0</v>
      </c>
      <c r="U35" s="9">
        <f t="shared" si="10"/>
        <v>0</v>
      </c>
      <c r="V35" s="9">
        <f t="shared" si="11"/>
        <v>0</v>
      </c>
      <c r="W35" s="9">
        <f t="shared" si="12"/>
        <v>0</v>
      </c>
      <c r="X35" s="11" t="s">
        <v>110</v>
      </c>
      <c r="Y35" s="9">
        <f t="shared" si="13"/>
        <v>0</v>
      </c>
      <c r="Z35" s="9">
        <f t="shared" si="14"/>
        <v>0</v>
      </c>
      <c r="AA35" s="9">
        <f t="shared" si="15"/>
        <v>0</v>
      </c>
    </row>
    <row r="36" spans="1:27" x14ac:dyDescent="0.25">
      <c r="A36" t="s">
        <v>295</v>
      </c>
      <c r="C36">
        <v>1175</v>
      </c>
      <c r="D36" t="s">
        <v>30</v>
      </c>
      <c r="E36" t="s">
        <v>16</v>
      </c>
      <c r="F36">
        <v>33</v>
      </c>
      <c r="G36" s="19" t="s">
        <v>229</v>
      </c>
      <c r="H36" s="20">
        <v>1.5</v>
      </c>
      <c r="I36" s="9">
        <f t="shared" si="0"/>
        <v>2.6179938779914945E-2</v>
      </c>
      <c r="J36" s="9">
        <f t="shared" si="1"/>
        <v>0.56194054932511295</v>
      </c>
      <c r="K36" s="9">
        <f t="shared" si="2"/>
        <v>-8.5</v>
      </c>
      <c r="L36" s="9">
        <f t="shared" si="3"/>
        <v>-0.14835298641951802</v>
      </c>
      <c r="M36" s="9">
        <f t="shared" si="4"/>
        <v>3.1730246287193511</v>
      </c>
      <c r="N36" s="9" t="s">
        <v>158</v>
      </c>
      <c r="O36" s="9">
        <f t="shared" si="5"/>
        <v>11.5</v>
      </c>
      <c r="P36" s="9">
        <f t="shared" si="6"/>
        <v>0.2007128639793479</v>
      </c>
      <c r="Q36" s="9">
        <f t="shared" si="7"/>
        <v>-18.793331834036493</v>
      </c>
      <c r="R36" s="16">
        <v>0</v>
      </c>
      <c r="S36" s="9">
        <f t="shared" si="8"/>
        <v>0</v>
      </c>
      <c r="T36" s="9">
        <f t="shared" si="9"/>
        <v>0</v>
      </c>
      <c r="U36" s="9">
        <f t="shared" si="10"/>
        <v>0</v>
      </c>
      <c r="V36" s="9">
        <f t="shared" si="11"/>
        <v>0</v>
      </c>
      <c r="W36" s="9">
        <f t="shared" si="12"/>
        <v>0</v>
      </c>
      <c r="X36" s="11" t="s">
        <v>111</v>
      </c>
      <c r="Y36" s="9">
        <f t="shared" si="13"/>
        <v>0</v>
      </c>
      <c r="Z36" s="9">
        <f t="shared" si="14"/>
        <v>0</v>
      </c>
      <c r="AA36" s="9">
        <f t="shared" si="15"/>
        <v>0</v>
      </c>
    </row>
    <row r="37" spans="1:27" x14ac:dyDescent="0.25">
      <c r="A37" t="s">
        <v>296</v>
      </c>
      <c r="C37">
        <v>1174</v>
      </c>
      <c r="D37" t="s">
        <v>30</v>
      </c>
      <c r="E37" t="s">
        <v>21</v>
      </c>
      <c r="F37">
        <v>34</v>
      </c>
      <c r="G37" s="19" t="s">
        <v>229</v>
      </c>
      <c r="H37" s="20">
        <v>-3.6</v>
      </c>
      <c r="I37" s="9">
        <f t="shared" si="0"/>
        <v>-6.2831853071795868E-2</v>
      </c>
      <c r="J37" s="9">
        <f t="shared" si="1"/>
        <v>1.3479240827357701</v>
      </c>
      <c r="K37" s="9">
        <f t="shared" si="2"/>
        <v>-13.6</v>
      </c>
      <c r="L37" s="9">
        <f t="shared" si="3"/>
        <v>-0.23736477827122882</v>
      </c>
      <c r="M37" s="9">
        <f t="shared" si="4"/>
        <v>5.0477957419732995</v>
      </c>
      <c r="N37" s="9" t="s">
        <v>159</v>
      </c>
      <c r="O37" s="9">
        <f t="shared" si="5"/>
        <v>6.4</v>
      </c>
      <c r="P37" s="9">
        <f t="shared" si="6"/>
        <v>0.11170107212763709</v>
      </c>
      <c r="Q37" s="9">
        <f t="shared" si="7"/>
        <v>2.501961780525547</v>
      </c>
      <c r="R37" s="16">
        <v>0</v>
      </c>
      <c r="S37" s="9">
        <f t="shared" si="8"/>
        <v>0</v>
      </c>
      <c r="T37" s="9">
        <f t="shared" si="9"/>
        <v>0</v>
      </c>
      <c r="U37" s="9">
        <f t="shared" si="10"/>
        <v>0</v>
      </c>
      <c r="V37" s="9">
        <f t="shared" si="11"/>
        <v>0</v>
      </c>
      <c r="W37" s="9">
        <f t="shared" si="12"/>
        <v>0</v>
      </c>
      <c r="X37" s="11" t="s">
        <v>112</v>
      </c>
      <c r="Y37" s="9">
        <f t="shared" si="13"/>
        <v>0</v>
      </c>
      <c r="Z37" s="9">
        <f t="shared" si="14"/>
        <v>0</v>
      </c>
      <c r="AA37" s="9">
        <f t="shared" si="15"/>
        <v>0</v>
      </c>
    </row>
    <row r="38" spans="1:27" x14ac:dyDescent="0.25">
      <c r="A38" t="s">
        <v>297</v>
      </c>
      <c r="C38">
        <v>1230</v>
      </c>
      <c r="D38" t="s">
        <v>31</v>
      </c>
      <c r="E38" t="s">
        <v>20</v>
      </c>
      <c r="F38">
        <v>35</v>
      </c>
      <c r="G38" s="19" t="s">
        <v>229</v>
      </c>
      <c r="H38" s="20">
        <v>-0.5</v>
      </c>
      <c r="I38" s="9">
        <f t="shared" si="0"/>
        <v>-8.7266462599716477E-3</v>
      </c>
      <c r="J38" s="9">
        <f t="shared" si="1"/>
        <v>0.18733253754359325</v>
      </c>
      <c r="K38" s="9">
        <f t="shared" si="2"/>
        <v>-10.5</v>
      </c>
      <c r="L38" s="9">
        <f t="shared" si="3"/>
        <v>-0.18325957145940461</v>
      </c>
      <c r="M38" s="9">
        <f t="shared" si="4"/>
        <v>3.9120500257399295</v>
      </c>
      <c r="N38" s="9" t="s">
        <v>160</v>
      </c>
      <c r="O38" s="9">
        <f t="shared" si="5"/>
        <v>9.5</v>
      </c>
      <c r="P38" s="9">
        <f t="shared" si="6"/>
        <v>0.16580627893946132</v>
      </c>
      <c r="Q38" s="9">
        <f t="shared" si="7"/>
        <v>-1.6132691029536601</v>
      </c>
      <c r="R38" s="16">
        <v>0</v>
      </c>
      <c r="S38" s="9">
        <f t="shared" si="8"/>
        <v>0</v>
      </c>
      <c r="T38" s="9">
        <f t="shared" si="9"/>
        <v>0</v>
      </c>
      <c r="U38" s="9">
        <f t="shared" si="10"/>
        <v>0</v>
      </c>
      <c r="V38" s="9">
        <f t="shared" si="11"/>
        <v>0</v>
      </c>
      <c r="W38" s="9">
        <f t="shared" si="12"/>
        <v>0</v>
      </c>
      <c r="X38" s="11" t="s">
        <v>113</v>
      </c>
      <c r="Y38" s="9">
        <f t="shared" si="13"/>
        <v>0</v>
      </c>
      <c r="Z38" s="9">
        <f t="shared" si="14"/>
        <v>0</v>
      </c>
      <c r="AA38" s="9">
        <f t="shared" si="15"/>
        <v>0</v>
      </c>
    </row>
    <row r="39" spans="1:27" x14ac:dyDescent="0.25">
      <c r="A39" t="s">
        <v>298</v>
      </c>
      <c r="C39">
        <v>1229</v>
      </c>
      <c r="D39" t="s">
        <v>31</v>
      </c>
      <c r="E39" t="s">
        <v>16</v>
      </c>
      <c r="F39">
        <v>36</v>
      </c>
      <c r="G39" s="19" t="s">
        <v>229</v>
      </c>
      <c r="H39" s="20">
        <v>9.5</v>
      </c>
      <c r="I39" s="9">
        <f t="shared" si="0"/>
        <v>0.16580627893946132</v>
      </c>
      <c r="J39" s="9">
        <f t="shared" si="1"/>
        <v>3.5430769550111672</v>
      </c>
      <c r="K39" s="9">
        <f t="shared" si="2"/>
        <v>-0.5</v>
      </c>
      <c r="L39" s="9">
        <f t="shared" si="3"/>
        <v>-8.7266462599716477E-3</v>
      </c>
      <c r="M39" s="9">
        <f t="shared" si="4"/>
        <v>0.18733253754359325</v>
      </c>
      <c r="N39" s="9" t="s">
        <v>161</v>
      </c>
      <c r="O39" s="9">
        <f t="shared" si="5"/>
        <v>19.5</v>
      </c>
      <c r="P39" s="9">
        <f t="shared" si="6"/>
        <v>0.34033920413889424</v>
      </c>
      <c r="Q39" s="9">
        <f t="shared" si="7"/>
        <v>12.999124383270676</v>
      </c>
      <c r="R39" s="16">
        <v>0</v>
      </c>
      <c r="S39" s="9">
        <f t="shared" si="8"/>
        <v>0</v>
      </c>
      <c r="T39" s="9">
        <f t="shared" si="9"/>
        <v>0</v>
      </c>
      <c r="U39" s="9">
        <f t="shared" si="10"/>
        <v>0</v>
      </c>
      <c r="V39" s="9">
        <f t="shared" si="11"/>
        <v>0</v>
      </c>
      <c r="W39" s="9">
        <f t="shared" si="12"/>
        <v>0</v>
      </c>
      <c r="X39" s="11" t="s">
        <v>114</v>
      </c>
      <c r="Y39" s="9">
        <f t="shared" si="13"/>
        <v>0</v>
      </c>
      <c r="Z39" s="9">
        <f t="shared" si="14"/>
        <v>0</v>
      </c>
      <c r="AA39" s="9">
        <f t="shared" si="15"/>
        <v>0</v>
      </c>
    </row>
    <row r="40" spans="1:27" x14ac:dyDescent="0.25">
      <c r="A40" t="s">
        <v>315</v>
      </c>
      <c r="C40">
        <v>1228</v>
      </c>
      <c r="D40" t="s">
        <v>31</v>
      </c>
      <c r="E40" t="s">
        <v>21</v>
      </c>
      <c r="F40">
        <v>37</v>
      </c>
      <c r="G40" s="19" t="s">
        <v>229</v>
      </c>
      <c r="H40" s="20">
        <v>-0.6</v>
      </c>
      <c r="I40" s="9">
        <f t="shared" si="0"/>
        <v>-1.0471975511965976E-2</v>
      </c>
      <c r="J40" s="9">
        <f t="shared" si="1"/>
        <v>0.2247977896234484</v>
      </c>
      <c r="K40" s="9">
        <f t="shared" si="2"/>
        <v>-10.6</v>
      </c>
      <c r="L40" s="9">
        <f t="shared" si="3"/>
        <v>-0.18500490071139894</v>
      </c>
      <c r="M40" s="9">
        <f t="shared" si="4"/>
        <v>3.9488836436032635</v>
      </c>
      <c r="N40" s="9" t="s">
        <v>162</v>
      </c>
      <c r="O40" s="9">
        <f t="shared" si="5"/>
        <v>9.4</v>
      </c>
      <c r="P40" s="9">
        <f t="shared" si="6"/>
        <v>0.16406094968746698</v>
      </c>
      <c r="Q40" s="9">
        <f t="shared" si="7"/>
        <v>0.53185405820723108</v>
      </c>
      <c r="R40" s="16">
        <v>0</v>
      </c>
      <c r="S40" s="9">
        <f t="shared" si="8"/>
        <v>0</v>
      </c>
      <c r="T40" s="9">
        <f t="shared" si="9"/>
        <v>0</v>
      </c>
      <c r="U40" s="9">
        <f t="shared" si="10"/>
        <v>0</v>
      </c>
      <c r="V40" s="9">
        <f t="shared" si="11"/>
        <v>0</v>
      </c>
      <c r="W40" s="9">
        <f t="shared" si="12"/>
        <v>0</v>
      </c>
      <c r="X40" s="11" t="s">
        <v>115</v>
      </c>
      <c r="Y40" s="9">
        <f t="shared" si="13"/>
        <v>0</v>
      </c>
      <c r="Z40" s="9">
        <f t="shared" si="14"/>
        <v>0</v>
      </c>
      <c r="AA40" s="9">
        <f t="shared" si="15"/>
        <v>0</v>
      </c>
    </row>
    <row r="41" spans="1:27" x14ac:dyDescent="0.25">
      <c r="A41" t="s">
        <v>299</v>
      </c>
      <c r="C41">
        <v>1323</v>
      </c>
      <c r="D41" t="s">
        <v>32</v>
      </c>
      <c r="E41" t="s">
        <v>11</v>
      </c>
      <c r="F41">
        <v>38</v>
      </c>
      <c r="G41" s="19" t="s">
        <v>228</v>
      </c>
      <c r="H41" s="20">
        <v>0</v>
      </c>
      <c r="I41" s="9">
        <f t="shared" si="0"/>
        <v>0</v>
      </c>
      <c r="J41" s="9">
        <f t="shared" si="1"/>
        <v>0</v>
      </c>
      <c r="K41" s="9">
        <f t="shared" si="2"/>
        <v>0</v>
      </c>
      <c r="L41" s="9">
        <f t="shared" si="3"/>
        <v>0</v>
      </c>
      <c r="M41" s="9">
        <f t="shared" si="4"/>
        <v>0</v>
      </c>
      <c r="N41" s="9" t="s">
        <v>163</v>
      </c>
      <c r="O41" s="9">
        <f t="shared" si="5"/>
        <v>0</v>
      </c>
      <c r="P41" s="9">
        <f t="shared" si="6"/>
        <v>0</v>
      </c>
      <c r="Q41" s="9">
        <f t="shared" si="7"/>
        <v>0</v>
      </c>
      <c r="R41" s="16">
        <v>4</v>
      </c>
      <c r="S41" s="9">
        <f t="shared" si="8"/>
        <v>6.9813170079773182E-2</v>
      </c>
      <c r="T41" s="9">
        <f t="shared" si="9"/>
        <v>1.4974622218651379</v>
      </c>
      <c r="U41" s="9">
        <f t="shared" si="10"/>
        <v>-6</v>
      </c>
      <c r="V41" s="9">
        <f t="shared" si="11"/>
        <v>-0.10471975511965978</v>
      </c>
      <c r="W41" s="9">
        <f t="shared" si="12"/>
        <v>2.2439125209667168</v>
      </c>
      <c r="X41" s="11" t="s">
        <v>80</v>
      </c>
      <c r="Y41" s="9">
        <f t="shared" si="13"/>
        <v>14</v>
      </c>
      <c r="Z41" s="9">
        <f t="shared" si="14"/>
        <v>0.24434609527920614</v>
      </c>
      <c r="AA41" s="9">
        <f t="shared" si="15"/>
        <v>5.193337332838067</v>
      </c>
    </row>
    <row r="42" spans="1:27" x14ac:dyDescent="0.25">
      <c r="A42" t="s">
        <v>316</v>
      </c>
      <c r="C42">
        <v>1327</v>
      </c>
      <c r="D42" t="s">
        <v>32</v>
      </c>
      <c r="E42" t="s">
        <v>16</v>
      </c>
      <c r="F42">
        <v>39</v>
      </c>
      <c r="G42" s="19" t="s">
        <v>228</v>
      </c>
      <c r="H42" s="20">
        <v>0</v>
      </c>
      <c r="I42" s="9">
        <f t="shared" si="0"/>
        <v>0</v>
      </c>
      <c r="J42" s="9">
        <f t="shared" si="1"/>
        <v>0</v>
      </c>
      <c r="K42" s="9">
        <f t="shared" si="2"/>
        <v>0</v>
      </c>
      <c r="L42" s="9">
        <f t="shared" si="3"/>
        <v>0</v>
      </c>
      <c r="M42" s="9">
        <f t="shared" si="4"/>
        <v>0</v>
      </c>
      <c r="N42" s="9" t="s">
        <v>164</v>
      </c>
      <c r="O42" s="9">
        <f t="shared" si="5"/>
        <v>0</v>
      </c>
      <c r="P42" s="9">
        <f t="shared" si="6"/>
        <v>0</v>
      </c>
      <c r="Q42" s="9">
        <f t="shared" si="7"/>
        <v>0</v>
      </c>
      <c r="R42" s="16">
        <v>0</v>
      </c>
      <c r="S42" s="9">
        <f t="shared" si="8"/>
        <v>0</v>
      </c>
      <c r="T42" s="9">
        <f t="shared" si="9"/>
        <v>0</v>
      </c>
      <c r="U42" s="9">
        <f t="shared" si="10"/>
        <v>-10</v>
      </c>
      <c r="V42" s="9">
        <f t="shared" si="11"/>
        <v>-0.17453292519943295</v>
      </c>
      <c r="W42" s="9">
        <f t="shared" si="12"/>
        <v>3.7277054299759933</v>
      </c>
      <c r="X42" s="11" t="s">
        <v>116</v>
      </c>
      <c r="Y42" s="9">
        <f t="shared" si="13"/>
        <v>10</v>
      </c>
      <c r="Z42" s="9">
        <f t="shared" si="14"/>
        <v>0.17453292519943295</v>
      </c>
      <c r="AA42" s="9">
        <f t="shared" si="15"/>
        <v>3.7277054299759933</v>
      </c>
    </row>
    <row r="43" spans="1:27" x14ac:dyDescent="0.25">
      <c r="A43" t="s">
        <v>300</v>
      </c>
      <c r="C43">
        <v>1328</v>
      </c>
      <c r="D43" t="s">
        <v>32</v>
      </c>
      <c r="E43" t="s">
        <v>13</v>
      </c>
      <c r="F43">
        <v>40</v>
      </c>
      <c r="G43" s="19" t="s">
        <v>228</v>
      </c>
      <c r="H43" s="20">
        <v>0</v>
      </c>
      <c r="I43" s="9">
        <f t="shared" si="0"/>
        <v>0</v>
      </c>
      <c r="J43" s="9">
        <f t="shared" si="1"/>
        <v>0</v>
      </c>
      <c r="K43" s="9">
        <f t="shared" si="2"/>
        <v>0</v>
      </c>
      <c r="L43" s="9">
        <f t="shared" si="3"/>
        <v>0</v>
      </c>
      <c r="M43" s="9">
        <f t="shared" si="4"/>
        <v>0</v>
      </c>
      <c r="N43" s="9" t="s">
        <v>165</v>
      </c>
      <c r="O43" s="9">
        <f t="shared" si="5"/>
        <v>0</v>
      </c>
      <c r="P43" s="9">
        <f t="shared" si="6"/>
        <v>0</v>
      </c>
      <c r="Q43" s="9">
        <f t="shared" si="7"/>
        <v>0</v>
      </c>
      <c r="R43" s="16">
        <v>0</v>
      </c>
      <c r="S43" s="9">
        <f t="shared" si="8"/>
        <v>0</v>
      </c>
      <c r="T43" s="9">
        <f t="shared" si="9"/>
        <v>0</v>
      </c>
      <c r="U43" s="9">
        <f t="shared" si="10"/>
        <v>-10</v>
      </c>
      <c r="V43" s="9">
        <f t="shared" si="11"/>
        <v>-0.17453292519943295</v>
      </c>
      <c r="W43" s="9">
        <f t="shared" si="12"/>
        <v>3.7277054299759933</v>
      </c>
      <c r="X43" s="11" t="s">
        <v>117</v>
      </c>
      <c r="Y43" s="9">
        <f t="shared" si="13"/>
        <v>10</v>
      </c>
      <c r="Z43" s="9">
        <f t="shared" si="14"/>
        <v>0.17453292519943295</v>
      </c>
      <c r="AA43" s="9">
        <f t="shared" si="15"/>
        <v>3.7277054299759933</v>
      </c>
    </row>
    <row r="44" spans="1:27" x14ac:dyDescent="0.25">
      <c r="A44" t="s">
        <v>317</v>
      </c>
      <c r="C44">
        <v>1324</v>
      </c>
      <c r="D44" t="s">
        <v>32</v>
      </c>
      <c r="E44" t="s">
        <v>21</v>
      </c>
      <c r="F44">
        <v>41</v>
      </c>
      <c r="G44" s="19" t="s">
        <v>229</v>
      </c>
      <c r="H44" s="20">
        <v>-0.6</v>
      </c>
      <c r="I44" s="9">
        <f t="shared" si="0"/>
        <v>-1.0471975511965976E-2</v>
      </c>
      <c r="J44" s="9">
        <f t="shared" si="1"/>
        <v>0.2247977896234484</v>
      </c>
      <c r="K44" s="9">
        <f t="shared" si="2"/>
        <v>-10.6</v>
      </c>
      <c r="L44" s="9">
        <f t="shared" si="3"/>
        <v>-0.18500490071139894</v>
      </c>
      <c r="M44" s="9">
        <f t="shared" si="4"/>
        <v>3.9488836436032635</v>
      </c>
      <c r="N44" s="9" t="s">
        <v>166</v>
      </c>
      <c r="O44" s="9">
        <f t="shared" si="5"/>
        <v>9.4</v>
      </c>
      <c r="P44" s="9">
        <f t="shared" si="6"/>
        <v>0.16406094968746698</v>
      </c>
      <c r="Q44" s="9">
        <f t="shared" si="7"/>
        <v>0.53185405820723108</v>
      </c>
      <c r="R44" s="16">
        <v>0</v>
      </c>
      <c r="S44" s="9">
        <f t="shared" si="8"/>
        <v>0</v>
      </c>
      <c r="T44" s="9">
        <f t="shared" si="9"/>
        <v>0</v>
      </c>
      <c r="U44" s="9">
        <f t="shared" si="10"/>
        <v>0</v>
      </c>
      <c r="V44" s="9">
        <f t="shared" si="11"/>
        <v>0</v>
      </c>
      <c r="W44" s="9">
        <f t="shared" si="12"/>
        <v>0</v>
      </c>
      <c r="X44" s="11" t="s">
        <v>118</v>
      </c>
      <c r="Y44" s="9">
        <f t="shared" si="13"/>
        <v>0</v>
      </c>
      <c r="Z44" s="9">
        <f t="shared" si="14"/>
        <v>0</v>
      </c>
      <c r="AA44" s="9">
        <f t="shared" si="15"/>
        <v>0</v>
      </c>
    </row>
    <row r="45" spans="1:27" x14ac:dyDescent="0.25">
      <c r="A45" t="s">
        <v>301</v>
      </c>
      <c r="C45">
        <v>636</v>
      </c>
      <c r="D45" t="s">
        <v>33</v>
      </c>
      <c r="E45" t="s">
        <v>13</v>
      </c>
      <c r="F45">
        <v>42</v>
      </c>
      <c r="G45" s="19" t="s">
        <v>228</v>
      </c>
      <c r="H45" s="20">
        <v>0</v>
      </c>
      <c r="I45" s="9">
        <f t="shared" si="0"/>
        <v>0</v>
      </c>
      <c r="J45" s="9">
        <f t="shared" si="1"/>
        <v>0</v>
      </c>
      <c r="K45" s="9">
        <f t="shared" si="2"/>
        <v>0</v>
      </c>
      <c r="L45" s="9">
        <f t="shared" si="3"/>
        <v>0</v>
      </c>
      <c r="M45" s="9">
        <f t="shared" si="4"/>
        <v>0</v>
      </c>
      <c r="N45" s="9" t="s">
        <v>167</v>
      </c>
      <c r="O45" s="9">
        <f t="shared" si="5"/>
        <v>0</v>
      </c>
      <c r="P45" s="9">
        <f t="shared" si="6"/>
        <v>0</v>
      </c>
      <c r="Q45" s="9">
        <f t="shared" si="7"/>
        <v>0</v>
      </c>
      <c r="R45" s="16">
        <v>-4</v>
      </c>
      <c r="S45" s="9">
        <f t="shared" si="8"/>
        <v>-6.9813170079773182E-2</v>
      </c>
      <c r="T45" s="9">
        <f t="shared" si="9"/>
        <v>1.4974622218651379</v>
      </c>
      <c r="U45" s="9">
        <f t="shared" si="10"/>
        <v>-14</v>
      </c>
      <c r="V45" s="9">
        <f t="shared" si="11"/>
        <v>-0.24434609527920614</v>
      </c>
      <c r="W45" s="9">
        <f t="shared" si="12"/>
        <v>5.193337332838067</v>
      </c>
      <c r="X45" s="11" t="s">
        <v>119</v>
      </c>
      <c r="Y45" s="9">
        <f t="shared" si="13"/>
        <v>6</v>
      </c>
      <c r="Z45" s="9">
        <f t="shared" si="14"/>
        <v>0.10471975511965978</v>
      </c>
      <c r="AA45" s="9">
        <f t="shared" si="15"/>
        <v>2.2439125209667168</v>
      </c>
    </row>
    <row r="46" spans="1:27" x14ac:dyDescent="0.25">
      <c r="A46" t="s">
        <v>318</v>
      </c>
      <c r="C46">
        <v>618</v>
      </c>
      <c r="D46" t="s">
        <v>33</v>
      </c>
      <c r="E46" t="s">
        <v>16</v>
      </c>
      <c r="F46">
        <v>43</v>
      </c>
      <c r="G46" s="19" t="s">
        <v>228</v>
      </c>
      <c r="H46" s="20">
        <v>0</v>
      </c>
      <c r="I46" s="9">
        <f t="shared" si="0"/>
        <v>0</v>
      </c>
      <c r="J46" s="9">
        <f t="shared" si="1"/>
        <v>0</v>
      </c>
      <c r="K46" s="9">
        <f t="shared" si="2"/>
        <v>0</v>
      </c>
      <c r="L46" s="9">
        <f t="shared" si="3"/>
        <v>0</v>
      </c>
      <c r="M46" s="9">
        <f t="shared" si="4"/>
        <v>0</v>
      </c>
      <c r="N46" s="9" t="s">
        <v>168</v>
      </c>
      <c r="O46" s="9">
        <f t="shared" si="5"/>
        <v>0</v>
      </c>
      <c r="P46" s="9">
        <f t="shared" si="6"/>
        <v>0</v>
      </c>
      <c r="Q46" s="9">
        <f t="shared" si="7"/>
        <v>0</v>
      </c>
      <c r="R46" s="16">
        <v>0</v>
      </c>
      <c r="S46" s="9">
        <f t="shared" si="8"/>
        <v>0</v>
      </c>
      <c r="T46" s="9">
        <f t="shared" si="9"/>
        <v>0</v>
      </c>
      <c r="U46" s="9">
        <f t="shared" si="10"/>
        <v>-10</v>
      </c>
      <c r="V46" s="9">
        <f t="shared" si="11"/>
        <v>-0.17453292519943295</v>
      </c>
      <c r="W46" s="9">
        <f t="shared" si="12"/>
        <v>3.7277054299759933</v>
      </c>
      <c r="X46" s="11" t="s">
        <v>120</v>
      </c>
      <c r="Y46" s="9">
        <f t="shared" si="13"/>
        <v>10</v>
      </c>
      <c r="Z46" s="9">
        <f t="shared" si="14"/>
        <v>0.17453292519943295</v>
      </c>
      <c r="AA46" s="9">
        <f t="shared" si="15"/>
        <v>3.7277054299759933</v>
      </c>
    </row>
    <row r="47" spans="1:27" x14ac:dyDescent="0.25">
      <c r="A47" t="s">
        <v>302</v>
      </c>
      <c r="C47">
        <v>2425</v>
      </c>
      <c r="D47" t="s">
        <v>33</v>
      </c>
      <c r="E47" t="s">
        <v>11</v>
      </c>
      <c r="F47">
        <v>44</v>
      </c>
      <c r="G47" s="19" t="s">
        <v>228</v>
      </c>
      <c r="H47" s="20">
        <v>0</v>
      </c>
      <c r="I47" s="9">
        <f t="shared" si="0"/>
        <v>0</v>
      </c>
      <c r="J47" s="9">
        <f t="shared" si="1"/>
        <v>0</v>
      </c>
      <c r="K47" s="9">
        <f t="shared" si="2"/>
        <v>0</v>
      </c>
      <c r="L47" s="9">
        <f t="shared" si="3"/>
        <v>0</v>
      </c>
      <c r="M47" s="9">
        <f t="shared" si="4"/>
        <v>0</v>
      </c>
      <c r="N47" s="10" t="s">
        <v>169</v>
      </c>
      <c r="O47" s="9">
        <f t="shared" si="5"/>
        <v>0</v>
      </c>
      <c r="P47" s="9">
        <f t="shared" si="6"/>
        <v>0</v>
      </c>
      <c r="Q47" s="9">
        <f t="shared" si="7"/>
        <v>0</v>
      </c>
      <c r="R47" s="17">
        <v>0</v>
      </c>
      <c r="S47" s="9">
        <f t="shared" si="8"/>
        <v>0</v>
      </c>
      <c r="T47" s="9">
        <f t="shared" si="9"/>
        <v>0</v>
      </c>
      <c r="U47" s="9">
        <f t="shared" si="10"/>
        <v>-10</v>
      </c>
      <c r="V47" s="9">
        <f t="shared" si="11"/>
        <v>-0.17453292519943295</v>
      </c>
      <c r="W47" s="9">
        <f t="shared" si="12"/>
        <v>3.7277054299759933</v>
      </c>
      <c r="X47" s="10" t="s">
        <v>121</v>
      </c>
      <c r="Y47" s="9">
        <f t="shared" si="13"/>
        <v>10</v>
      </c>
      <c r="Z47" s="9">
        <f t="shared" si="14"/>
        <v>0.17453292519943295</v>
      </c>
      <c r="AA47" s="9">
        <f t="shared" si="15"/>
        <v>3.7277054299759933</v>
      </c>
    </row>
    <row r="48" spans="1:27" x14ac:dyDescent="0.25">
      <c r="C48">
        <v>617</v>
      </c>
      <c r="D48" t="s">
        <v>33</v>
      </c>
      <c r="E48" t="s">
        <v>21</v>
      </c>
      <c r="F48">
        <v>45</v>
      </c>
      <c r="G48" s="19" t="s">
        <v>229</v>
      </c>
      <c r="H48" s="26">
        <v>-0.6</v>
      </c>
      <c r="I48" s="9">
        <f t="shared" ref="I48:I50" si="16">RADIANS(H48)</f>
        <v>-1.0471975511965976E-2</v>
      </c>
      <c r="J48" s="9">
        <f t="shared" ref="J48:J50" si="17">IF(I48&gt;0,$D$51*SIN(I48), $D$51*SIN(-I48))</f>
        <v>0.2247977896234484</v>
      </c>
      <c r="K48" s="9">
        <f t="shared" ref="K48:K50" si="18">IF($G48="pitch",H48-10, H48)</f>
        <v>-10.6</v>
      </c>
      <c r="L48" s="9">
        <f t="shared" ref="L48:L50" si="19">RADIANS(K48)</f>
        <v>-0.18500490071139894</v>
      </c>
      <c r="M48" s="9">
        <f t="shared" ref="M48:M50" si="20">IF(L48&gt;0,$D$51*SIN(L48), $D$51*SIN(-L48))</f>
        <v>3.9488836436032635</v>
      </c>
      <c r="N48" s="10" t="s">
        <v>169</v>
      </c>
      <c r="O48" s="9">
        <f t="shared" ref="O48:O50" si="21">IF($G48="pitch",H48+10, H48)</f>
        <v>9.4</v>
      </c>
      <c r="P48" s="9">
        <f t="shared" ref="P48:P50" si="22">RADIANS(O48)</f>
        <v>0.16406094968746698</v>
      </c>
      <c r="Q48" s="9">
        <f t="shared" ref="Q48:Q50" si="23">IF(O48&gt;0,$D$51*SIN(O48), $D$51*SIN(-O48))</f>
        <v>0.53185405820723108</v>
      </c>
      <c r="R48" s="11"/>
      <c r="S48" s="9"/>
      <c r="T48" s="9"/>
      <c r="U48" s="9"/>
      <c r="V48" s="9"/>
      <c r="W48" s="9"/>
      <c r="X48" s="9"/>
      <c r="Y48" s="9"/>
      <c r="Z48" s="9"/>
      <c r="AA48" s="9"/>
    </row>
    <row r="49" spans="1:27" x14ac:dyDescent="0.25">
      <c r="C49">
        <v>446</v>
      </c>
      <c r="D49" t="s">
        <v>347</v>
      </c>
      <c r="E49" t="s">
        <v>348</v>
      </c>
      <c r="F49">
        <v>46</v>
      </c>
      <c r="G49" s="19" t="s">
        <v>229</v>
      </c>
      <c r="H49" s="26">
        <v>-9</v>
      </c>
      <c r="I49" s="9">
        <f t="shared" si="16"/>
        <v>-0.15707963267948966</v>
      </c>
      <c r="J49" s="9">
        <f t="shared" si="17"/>
        <v>3.3581786610186359</v>
      </c>
      <c r="K49" s="9">
        <f t="shared" si="18"/>
        <v>-19</v>
      </c>
      <c r="L49" s="9">
        <f t="shared" si="19"/>
        <v>-0.33161255787892263</v>
      </c>
      <c r="M49" s="9">
        <f t="shared" si="20"/>
        <v>6.9889715717317822</v>
      </c>
      <c r="N49" s="10" t="s">
        <v>169</v>
      </c>
      <c r="O49" s="9">
        <f t="shared" si="21"/>
        <v>1</v>
      </c>
      <c r="P49" s="9">
        <f t="shared" si="22"/>
        <v>1.7453292519943295E-2</v>
      </c>
      <c r="Q49" s="9">
        <f t="shared" si="23"/>
        <v>18.063857630871112</v>
      </c>
      <c r="R49" s="11"/>
      <c r="S49" s="9"/>
      <c r="T49" s="9"/>
      <c r="U49" s="9"/>
      <c r="V49" s="9"/>
      <c r="W49" s="9"/>
      <c r="X49" s="9"/>
      <c r="Y49" s="9"/>
      <c r="Z49" s="9"/>
      <c r="AA49" s="9"/>
    </row>
    <row r="50" spans="1:27" x14ac:dyDescent="0.25">
      <c r="C50">
        <v>409</v>
      </c>
      <c r="D50" t="s">
        <v>347</v>
      </c>
      <c r="E50" t="s">
        <v>349</v>
      </c>
      <c r="F50">
        <v>47</v>
      </c>
      <c r="G50" s="19" t="s">
        <v>229</v>
      </c>
      <c r="H50" s="26">
        <v>-9</v>
      </c>
      <c r="I50" s="9">
        <f t="shared" si="16"/>
        <v>-0.15707963267948966</v>
      </c>
      <c r="J50" s="9">
        <f t="shared" si="17"/>
        <v>3.3581786610186359</v>
      </c>
      <c r="K50" s="9">
        <f t="shared" si="18"/>
        <v>-19</v>
      </c>
      <c r="L50" s="9">
        <f t="shared" si="19"/>
        <v>-0.33161255787892263</v>
      </c>
      <c r="M50" s="9">
        <f t="shared" si="20"/>
        <v>6.9889715717317822</v>
      </c>
      <c r="N50" s="10" t="s">
        <v>169</v>
      </c>
      <c r="O50" s="9">
        <f t="shared" si="21"/>
        <v>1</v>
      </c>
      <c r="P50" s="9">
        <f t="shared" si="22"/>
        <v>1.7453292519943295E-2</v>
      </c>
      <c r="Q50" s="9">
        <f t="shared" si="23"/>
        <v>18.063857630871112</v>
      </c>
    </row>
    <row r="51" spans="1:27" x14ac:dyDescent="0.25">
      <c r="A51" t="s">
        <v>233</v>
      </c>
      <c r="C51" t="s">
        <v>7</v>
      </c>
      <c r="D51">
        <v>21.466999999999999</v>
      </c>
    </row>
    <row r="52" spans="1:27" x14ac:dyDescent="0.25">
      <c r="A52" t="s">
        <v>234</v>
      </c>
    </row>
    <row r="53" spans="1:27" x14ac:dyDescent="0.25">
      <c r="A53" t="s">
        <v>235</v>
      </c>
    </row>
    <row r="54" spans="1:27" x14ac:dyDescent="0.25">
      <c r="A54" t="s">
        <v>236</v>
      </c>
      <c r="S54" s="9" t="s">
        <v>34</v>
      </c>
    </row>
    <row r="55" spans="1:27" x14ac:dyDescent="0.25">
      <c r="A55" t="s">
        <v>237</v>
      </c>
      <c r="S55" s="9" t="s">
        <v>35</v>
      </c>
    </row>
    <row r="56" spans="1:27" x14ac:dyDescent="0.25">
      <c r="A56" t="s">
        <v>238</v>
      </c>
      <c r="S56" s="9" t="s">
        <v>36</v>
      </c>
    </row>
    <row r="57" spans="1:27" x14ac:dyDescent="0.25">
      <c r="A57" t="s">
        <v>239</v>
      </c>
      <c r="S57" s="11" t="s">
        <v>37</v>
      </c>
    </row>
    <row r="58" spans="1:27" x14ac:dyDescent="0.25">
      <c r="A58" t="s">
        <v>240</v>
      </c>
      <c r="S58" s="11" t="s">
        <v>38</v>
      </c>
    </row>
    <row r="59" spans="1:27" x14ac:dyDescent="0.25">
      <c r="A59" t="s">
        <v>241</v>
      </c>
      <c r="S59" s="11" t="s">
        <v>39</v>
      </c>
    </row>
    <row r="60" spans="1:27" x14ac:dyDescent="0.25">
      <c r="A60" t="s">
        <v>242</v>
      </c>
      <c r="S60" s="11" t="s">
        <v>40</v>
      </c>
    </row>
    <row r="61" spans="1:27" x14ac:dyDescent="0.25">
      <c r="A61" t="s">
        <v>243</v>
      </c>
      <c r="S61" s="11" t="s">
        <v>41</v>
      </c>
    </row>
    <row r="62" spans="1:27" x14ac:dyDescent="0.25">
      <c r="A62" t="s">
        <v>244</v>
      </c>
      <c r="S62" s="11" t="s">
        <v>42</v>
      </c>
    </row>
    <row r="63" spans="1:27" x14ac:dyDescent="0.25">
      <c r="A63" t="s">
        <v>245</v>
      </c>
      <c r="S63" s="11" t="s">
        <v>43</v>
      </c>
    </row>
    <row r="64" spans="1:27" x14ac:dyDescent="0.25">
      <c r="A64" t="s">
        <v>246</v>
      </c>
      <c r="S64" s="11" t="s">
        <v>44</v>
      </c>
    </row>
    <row r="65" spans="1:19" x14ac:dyDescent="0.25">
      <c r="A65" t="s">
        <v>247</v>
      </c>
      <c r="S65" s="11" t="s">
        <v>45</v>
      </c>
    </row>
    <row r="66" spans="1:19" x14ac:dyDescent="0.25">
      <c r="A66" t="s">
        <v>248</v>
      </c>
      <c r="S66" s="11" t="s">
        <v>46</v>
      </c>
    </row>
    <row r="67" spans="1:19" x14ac:dyDescent="0.25">
      <c r="A67" t="s">
        <v>249</v>
      </c>
      <c r="S67" s="11" t="s">
        <v>47</v>
      </c>
    </row>
    <row r="68" spans="1:19" x14ac:dyDescent="0.25">
      <c r="A68" t="s">
        <v>250</v>
      </c>
      <c r="S68" s="11" t="s">
        <v>48</v>
      </c>
    </row>
    <row r="69" spans="1:19" x14ac:dyDescent="0.25">
      <c r="A69" t="s">
        <v>251</v>
      </c>
      <c r="S69" s="11" t="s">
        <v>49</v>
      </c>
    </row>
    <row r="70" spans="1:19" x14ac:dyDescent="0.25">
      <c r="A70" t="s">
        <v>252</v>
      </c>
      <c r="S70" s="11" t="s">
        <v>50</v>
      </c>
    </row>
    <row r="71" spans="1:19" x14ac:dyDescent="0.25">
      <c r="A71" t="s">
        <v>253</v>
      </c>
      <c r="S71" s="11" t="s">
        <v>51</v>
      </c>
    </row>
    <row r="72" spans="1:19" x14ac:dyDescent="0.25">
      <c r="A72" t="s">
        <v>254</v>
      </c>
      <c r="S72" s="11" t="s">
        <v>52</v>
      </c>
    </row>
    <row r="73" spans="1:19" x14ac:dyDescent="0.25">
      <c r="A73" t="s">
        <v>255</v>
      </c>
      <c r="S73" s="11" t="s">
        <v>53</v>
      </c>
    </row>
    <row r="74" spans="1:19" x14ac:dyDescent="0.25">
      <c r="A74" t="s">
        <v>256</v>
      </c>
      <c r="S74" s="11" t="s">
        <v>54</v>
      </c>
    </row>
    <row r="75" spans="1:19" x14ac:dyDescent="0.25">
      <c r="A75" t="s">
        <v>257</v>
      </c>
      <c r="S75" s="11" t="s">
        <v>55</v>
      </c>
    </row>
    <row r="76" spans="1:19" x14ac:dyDescent="0.25">
      <c r="A76" t="s">
        <v>258</v>
      </c>
      <c r="S76" s="11" t="s">
        <v>56</v>
      </c>
    </row>
    <row r="77" spans="1:19" x14ac:dyDescent="0.25">
      <c r="A77" t="s">
        <v>259</v>
      </c>
      <c r="S77" s="12" t="s">
        <v>57</v>
      </c>
    </row>
    <row r="78" spans="1:19" x14ac:dyDescent="0.25">
      <c r="A78" t="s">
        <v>260</v>
      </c>
      <c r="S78" s="12" t="s">
        <v>58</v>
      </c>
    </row>
    <row r="79" spans="1:19" x14ac:dyDescent="0.25">
      <c r="A79" t="s">
        <v>261</v>
      </c>
      <c r="S79" s="9" t="s">
        <v>60</v>
      </c>
    </row>
    <row r="80" spans="1:19" x14ac:dyDescent="0.25">
      <c r="A80" t="s">
        <v>262</v>
      </c>
      <c r="S80" s="9" t="s">
        <v>61</v>
      </c>
    </row>
    <row r="81" spans="1:19" x14ac:dyDescent="0.25">
      <c r="A81" t="s">
        <v>263</v>
      </c>
      <c r="S81" s="9" t="s">
        <v>62</v>
      </c>
    </row>
    <row r="82" spans="1:19" x14ac:dyDescent="0.25">
      <c r="A82" t="s">
        <v>264</v>
      </c>
      <c r="S82" s="9" t="s">
        <v>63</v>
      </c>
    </row>
    <row r="83" spans="1:19" x14ac:dyDescent="0.25">
      <c r="A83" t="s">
        <v>265</v>
      </c>
      <c r="S83" s="9" t="s">
        <v>64</v>
      </c>
    </row>
    <row r="84" spans="1:19" x14ac:dyDescent="0.25">
      <c r="A84" t="s">
        <v>266</v>
      </c>
      <c r="S84" s="9" t="s">
        <v>65</v>
      </c>
    </row>
    <row r="85" spans="1:19" x14ac:dyDescent="0.25">
      <c r="A85" t="s">
        <v>267</v>
      </c>
      <c r="S85" s="9" t="s">
        <v>66</v>
      </c>
    </row>
    <row r="86" spans="1:19" x14ac:dyDescent="0.25">
      <c r="A86" t="s">
        <v>268</v>
      </c>
      <c r="S86" s="9" t="s">
        <v>67</v>
      </c>
    </row>
    <row r="87" spans="1:19" x14ac:dyDescent="0.25">
      <c r="A87" t="s">
        <v>269</v>
      </c>
      <c r="S87" s="9" t="s">
        <v>68</v>
      </c>
    </row>
    <row r="88" spans="1:19" x14ac:dyDescent="0.25">
      <c r="A88" t="s">
        <v>270</v>
      </c>
      <c r="S88" s="9" t="s">
        <v>69</v>
      </c>
    </row>
    <row r="89" spans="1:19" x14ac:dyDescent="0.25">
      <c r="A89" t="s">
        <v>271</v>
      </c>
      <c r="S89" s="9" t="s">
        <v>70</v>
      </c>
    </row>
    <row r="90" spans="1:19" x14ac:dyDescent="0.25">
      <c r="A90" t="s">
        <v>272</v>
      </c>
      <c r="S90" s="9" t="s">
        <v>71</v>
      </c>
    </row>
    <row r="91" spans="1:19" x14ac:dyDescent="0.25">
      <c r="A91" t="s">
        <v>273</v>
      </c>
      <c r="S91" s="9" t="s">
        <v>72</v>
      </c>
    </row>
    <row r="92" spans="1:19" x14ac:dyDescent="0.25">
      <c r="A92" t="s">
        <v>274</v>
      </c>
      <c r="S92" s="9" t="s">
        <v>73</v>
      </c>
    </row>
    <row r="93" spans="1:19" x14ac:dyDescent="0.25">
      <c r="A93" t="s">
        <v>275</v>
      </c>
      <c r="S93" s="9" t="s">
        <v>74</v>
      </c>
    </row>
    <row r="94" spans="1:19" x14ac:dyDescent="0.25">
      <c r="S94" s="9" t="s">
        <v>75</v>
      </c>
    </row>
    <row r="95" spans="1:19" x14ac:dyDescent="0.25">
      <c r="S95" s="9" t="s">
        <v>76</v>
      </c>
    </row>
    <row r="96" spans="1:19" x14ac:dyDescent="0.25">
      <c r="S96" s="10" t="s">
        <v>77</v>
      </c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autoLine="0" r:id="rId5">
            <anchor moveWithCells="1">
              <from>
                <xdr:col>0</xdr:col>
                <xdr:colOff>495300</xdr:colOff>
                <xdr:row>0</xdr:row>
                <xdr:rowOff>47625</xdr:rowOff>
              </from>
              <to>
                <xdr:col>0</xdr:col>
                <xdr:colOff>1409700</xdr:colOff>
                <xdr:row>1</xdr:row>
                <xdr:rowOff>161925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autoLine="0" r:id="rId7">
            <anchor moveWithCells="1">
              <from>
                <xdr:col>1</xdr:col>
                <xdr:colOff>228600</xdr:colOff>
                <xdr:row>0</xdr:row>
                <xdr:rowOff>171450</xdr:rowOff>
              </from>
              <to>
                <xdr:col>2</xdr:col>
                <xdr:colOff>533400</xdr:colOff>
                <xdr:row>2</xdr:row>
                <xdr:rowOff>95250</xdr:rowOff>
              </to>
            </anchor>
          </controlPr>
        </control>
      </mc:Choice>
      <mc:Fallback>
        <control shapeId="2051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K118"/>
  <sheetViews>
    <sheetView tabSelected="1" topLeftCell="A4" zoomScale="70" zoomScaleNormal="70" workbookViewId="0">
      <selection activeCell="F27" sqref="F27"/>
    </sheetView>
  </sheetViews>
  <sheetFormatPr defaultRowHeight="15" x14ac:dyDescent="0.25"/>
  <cols>
    <col min="1" max="4" width="18.42578125" customWidth="1"/>
    <col min="5" max="9" width="9.7109375" customWidth="1"/>
    <col min="10" max="10" width="10.140625" customWidth="1"/>
    <col min="11" max="11" width="16.7109375" customWidth="1"/>
    <col min="12" max="37" width="9.42578125" customWidth="1"/>
  </cols>
  <sheetData>
    <row r="1" spans="1:37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 s="2">
        <v>10</v>
      </c>
      <c r="K1">
        <v>11</v>
      </c>
      <c r="L1">
        <v>12</v>
      </c>
      <c r="M1">
        <v>13</v>
      </c>
      <c r="N1" s="2">
        <v>14</v>
      </c>
      <c r="O1">
        <v>15</v>
      </c>
      <c r="P1">
        <v>16</v>
      </c>
      <c r="Q1">
        <v>17</v>
      </c>
      <c r="R1" s="2">
        <v>18</v>
      </c>
      <c r="S1">
        <v>19</v>
      </c>
      <c r="T1">
        <v>20</v>
      </c>
      <c r="U1">
        <v>21</v>
      </c>
      <c r="V1" s="2">
        <v>22</v>
      </c>
      <c r="W1">
        <v>23</v>
      </c>
      <c r="X1">
        <v>24</v>
      </c>
      <c r="Y1">
        <v>25</v>
      </c>
      <c r="Z1" s="2">
        <v>26</v>
      </c>
      <c r="AA1">
        <v>27</v>
      </c>
      <c r="AB1">
        <v>28</v>
      </c>
      <c r="AC1">
        <v>29</v>
      </c>
      <c r="AD1" s="2">
        <v>30</v>
      </c>
      <c r="AE1">
        <v>31</v>
      </c>
      <c r="AF1">
        <v>32</v>
      </c>
      <c r="AG1">
        <v>33</v>
      </c>
      <c r="AH1" s="2">
        <v>34</v>
      </c>
      <c r="AI1">
        <v>35</v>
      </c>
      <c r="AJ1">
        <v>36</v>
      </c>
      <c r="AK1">
        <v>37</v>
      </c>
    </row>
    <row r="2" spans="1:37" x14ac:dyDescent="0.25">
      <c r="A2" t="s">
        <v>320</v>
      </c>
      <c r="B2" t="s">
        <v>320</v>
      </c>
      <c r="C2" t="s">
        <v>320</v>
      </c>
      <c r="D2" t="s">
        <v>320</v>
      </c>
      <c r="J2" s="2"/>
      <c r="K2" t="s">
        <v>124</v>
      </c>
      <c r="O2" s="3" t="s">
        <v>414</v>
      </c>
      <c r="P2" s="34"/>
      <c r="Q2" s="34"/>
      <c r="R2" s="35" t="s">
        <v>418</v>
      </c>
      <c r="S2" s="34"/>
      <c r="T2" s="34"/>
      <c r="U2" s="34"/>
      <c r="V2" s="35" t="s">
        <v>416</v>
      </c>
      <c r="W2" s="34"/>
      <c r="X2" s="34"/>
      <c r="Y2" s="35" t="s">
        <v>417</v>
      </c>
      <c r="Z2" s="4"/>
      <c r="AA2" s="4"/>
      <c r="AB2" s="13" t="s">
        <v>231</v>
      </c>
      <c r="AC2" s="4"/>
      <c r="AD2" s="4"/>
      <c r="AE2" s="37" t="s">
        <v>422</v>
      </c>
      <c r="AF2" s="4"/>
      <c r="AG2" s="4"/>
      <c r="AH2" s="4"/>
      <c r="AI2" s="36" t="s">
        <v>419</v>
      </c>
      <c r="AJ2" s="4"/>
      <c r="AK2" s="4"/>
    </row>
    <row r="3" spans="1:37" ht="75" customHeight="1" x14ac:dyDescent="0.25">
      <c r="A3" s="33" t="s">
        <v>227</v>
      </c>
      <c r="B3" s="33" t="s">
        <v>414</v>
      </c>
      <c r="C3" s="33" t="s">
        <v>415</v>
      </c>
      <c r="D3" s="33" t="s">
        <v>416</v>
      </c>
      <c r="E3" s="27" t="s">
        <v>411</v>
      </c>
      <c r="F3" s="27" t="s">
        <v>532</v>
      </c>
      <c r="G3" s="27" t="s">
        <v>412</v>
      </c>
      <c r="H3" s="27" t="s">
        <v>413</v>
      </c>
      <c r="I3" s="27" t="s">
        <v>420</v>
      </c>
      <c r="J3" s="28" t="s">
        <v>0</v>
      </c>
      <c r="K3" s="28" t="s">
        <v>1</v>
      </c>
      <c r="L3" s="28" t="s">
        <v>2</v>
      </c>
      <c r="M3" s="28" t="s">
        <v>28</v>
      </c>
      <c r="N3" s="28"/>
      <c r="O3" s="29" t="s">
        <v>26</v>
      </c>
      <c r="P3" s="30" t="s">
        <v>122</v>
      </c>
      <c r="Q3" s="30" t="s">
        <v>123</v>
      </c>
      <c r="R3" s="30" t="s">
        <v>3</v>
      </c>
      <c r="S3" s="30" t="s">
        <v>122</v>
      </c>
      <c r="T3" s="30" t="s">
        <v>123</v>
      </c>
      <c r="U3" s="30" t="s">
        <v>59</v>
      </c>
      <c r="V3" s="30" t="s">
        <v>4</v>
      </c>
      <c r="W3" s="30" t="s">
        <v>122</v>
      </c>
      <c r="X3" s="30" t="s">
        <v>123</v>
      </c>
      <c r="Y3" s="30" t="s">
        <v>4</v>
      </c>
      <c r="Z3" s="30" t="s">
        <v>122</v>
      </c>
      <c r="AA3" s="30" t="s">
        <v>123</v>
      </c>
      <c r="AB3" s="31" t="s">
        <v>27</v>
      </c>
      <c r="AC3" s="30" t="s">
        <v>122</v>
      </c>
      <c r="AD3" s="30" t="s">
        <v>123</v>
      </c>
      <c r="AE3" s="30" t="s">
        <v>5</v>
      </c>
      <c r="AF3" s="30" t="s">
        <v>122</v>
      </c>
      <c r="AG3" s="30" t="s">
        <v>123</v>
      </c>
      <c r="AH3" s="30" t="s">
        <v>78</v>
      </c>
      <c r="AI3" s="32" t="s">
        <v>6</v>
      </c>
      <c r="AJ3" s="30" t="s">
        <v>122</v>
      </c>
      <c r="AK3" s="30" t="s">
        <v>123</v>
      </c>
    </row>
    <row r="4" spans="1:37" x14ac:dyDescent="0.25">
      <c r="A4" t="s">
        <v>558</v>
      </c>
      <c r="B4" t="s">
        <v>577</v>
      </c>
      <c r="C4" t="s">
        <v>558</v>
      </c>
      <c r="D4" t="s">
        <v>577</v>
      </c>
      <c r="I4">
        <v>0</v>
      </c>
      <c r="J4">
        <v>2687</v>
      </c>
      <c r="K4" t="s">
        <v>8</v>
      </c>
      <c r="L4" t="s">
        <v>9</v>
      </c>
      <c r="M4">
        <v>1</v>
      </c>
      <c r="N4" s="19" t="s">
        <v>228</v>
      </c>
      <c r="O4">
        <f>IF($N4="pitch",I4-10, I4)</f>
        <v>0</v>
      </c>
      <c r="P4" s="9">
        <f>RADIANS(O4)</f>
        <v>0</v>
      </c>
      <c r="Q4" s="9">
        <f t="shared" ref="Q4:Q17" si="0">IF(P4&gt;0,$K$61*SIN(P4), $K$61*SIN(-P4))</f>
        <v>0</v>
      </c>
      <c r="R4" s="9">
        <f>IF($N4="pitch",O4-10, O4)</f>
        <v>0</v>
      </c>
      <c r="S4" s="9">
        <f>RADIANS(R4)</f>
        <v>0</v>
      </c>
      <c r="T4" s="9">
        <f t="shared" ref="T4:T17" si="1">IF(S4&gt;0,$K$61*SIN(S4), $K$61*SIN(-S4))</f>
        <v>0</v>
      </c>
      <c r="U4" s="9" t="s">
        <v>184</v>
      </c>
      <c r="V4" s="9">
        <f>IF($N4="pitch",O4+12, O4)</f>
        <v>0</v>
      </c>
      <c r="W4" s="9">
        <f>RADIANS(V4)</f>
        <v>0</v>
      </c>
      <c r="X4" s="9">
        <f t="shared" ref="X4:X17" si="2">IF(W4&gt;0,$K$61*SIN(W4), $K$61*SIN(-W4))</f>
        <v>0</v>
      </c>
      <c r="Y4" s="9">
        <f>IF($N4="pitch",V4+10, V4)</f>
        <v>0</v>
      </c>
      <c r="Z4" s="9">
        <f>RADIANS(Y4)</f>
        <v>0</v>
      </c>
      <c r="AA4" s="9">
        <f t="shared" ref="AA4:AA59" si="3">IF(Z4&gt;0,$K$61*SIN(Z4), $K$61*SIN(-Z4))</f>
        <v>0</v>
      </c>
      <c r="AB4" s="15">
        <v>15</v>
      </c>
      <c r="AC4" s="9">
        <f>RADIANS(AB4)</f>
        <v>0.26179938779914941</v>
      </c>
      <c r="AD4" s="9">
        <f t="shared" ref="AD4:AD14" si="4">IF(AC4&gt;0,$K$61*SIN(AC4), $K$61*SIN(-AC4))</f>
        <v>16.683475647308484</v>
      </c>
      <c r="AE4" s="9">
        <f>IF($N4="yaw",AB4-10, AB4)</f>
        <v>5</v>
      </c>
      <c r="AF4" s="9">
        <f>RADIANS(AE4)</f>
        <v>8.7266462599716474E-2</v>
      </c>
      <c r="AG4" s="9">
        <f t="shared" ref="AG4:AG14" si="5">IF(AF4&gt;0,$K$61*SIN(AF4), $K$61*SIN(-AF4))</f>
        <v>5.6180591775140449</v>
      </c>
      <c r="AH4" s="9" t="s">
        <v>79</v>
      </c>
      <c r="AI4" s="9">
        <f>IF($N4="yaw",AB4+10, AB4)</f>
        <v>25</v>
      </c>
      <c r="AJ4" s="9">
        <f>RADIANS(AI4)</f>
        <v>0.43633231299858238</v>
      </c>
      <c r="AK4" s="9">
        <f t="shared" ref="AK4:AK14" si="6">IF(AJ4&gt;0,$K$61*SIN(AJ4), $K$61*SIN(-AJ4))</f>
        <v>27.241973151805482</v>
      </c>
    </row>
    <row r="5" spans="1:37" x14ac:dyDescent="0.25">
      <c r="A5" t="s">
        <v>559</v>
      </c>
      <c r="B5" t="s">
        <v>578</v>
      </c>
      <c r="D5" t="s">
        <v>609</v>
      </c>
      <c r="G5" t="s">
        <v>320</v>
      </c>
      <c r="I5">
        <v>-5.5</v>
      </c>
      <c r="J5">
        <v>2694</v>
      </c>
      <c r="K5" t="s">
        <v>8</v>
      </c>
      <c r="L5" t="s">
        <v>10</v>
      </c>
      <c r="M5">
        <v>2</v>
      </c>
      <c r="N5" s="19" t="s">
        <v>229</v>
      </c>
      <c r="O5">
        <f t="shared" ref="O5:O59" si="7">IF($N5="pitch",I5-10, I5)</f>
        <v>-15.5</v>
      </c>
      <c r="P5" s="9">
        <f t="shared" ref="P5:P47" si="8">RADIANS(O5)</f>
        <v>-0.27052603405912107</v>
      </c>
      <c r="Q5" s="9">
        <f t="shared" si="0"/>
        <v>17.226185722004434</v>
      </c>
      <c r="R5" s="9">
        <f t="shared" ref="R5:R47" si="9">IF($N5="pitch",O5-10, O5)</f>
        <v>-25.5</v>
      </c>
      <c r="S5" s="9">
        <f t="shared" ref="S5:S47" si="10">RADIANS(R5)</f>
        <v>-0.44505895925855404</v>
      </c>
      <c r="T5" s="9">
        <f t="shared" si="1"/>
        <v>27.7507453002627</v>
      </c>
      <c r="U5" s="9" t="s">
        <v>185</v>
      </c>
      <c r="V5" s="9">
        <f t="shared" ref="V5:V59" si="11">IF($N5="pitch",O5+12, O5)</f>
        <v>-3.5</v>
      </c>
      <c r="W5" s="9">
        <f t="shared" ref="W5:W47" si="12">RADIANS(V5)</f>
        <v>-6.1086523819801536E-2</v>
      </c>
      <c r="X5" s="9">
        <f t="shared" si="2"/>
        <v>3.9351888584168737</v>
      </c>
      <c r="Y5" s="9">
        <f t="shared" ref="Y5:Y59" si="13">IF($N5="pitch",V5+10, V5)</f>
        <v>6.5</v>
      </c>
      <c r="Z5" s="9">
        <f t="shared" ref="Z5:Z59" si="14">RADIANS(Y5)</f>
        <v>0.11344640137963143</v>
      </c>
      <c r="AA5" s="9">
        <f t="shared" si="3"/>
        <v>7.2970791594792663</v>
      </c>
      <c r="AB5" s="15">
        <v>0</v>
      </c>
      <c r="AC5" s="9">
        <f t="shared" ref="AC5:AC47" si="15">RADIANS(AB5)</f>
        <v>0</v>
      </c>
      <c r="AD5" s="9">
        <f t="shared" si="4"/>
        <v>0</v>
      </c>
      <c r="AE5" s="9">
        <f t="shared" ref="AE5:AE47" si="16">IF($N5="yaw",AB5-10, AB5)</f>
        <v>0</v>
      </c>
      <c r="AF5" s="9">
        <f t="shared" ref="AF5:AF47" si="17">RADIANS(AE5)</f>
        <v>0</v>
      </c>
      <c r="AG5" s="9">
        <f t="shared" si="5"/>
        <v>0</v>
      </c>
      <c r="AH5" s="9" t="s">
        <v>81</v>
      </c>
      <c r="AI5" s="9">
        <f t="shared" ref="AI5:AI47" si="18">IF($N5="yaw",AB5+10, AB5)</f>
        <v>0</v>
      </c>
      <c r="AJ5" s="9">
        <f t="shared" ref="AJ5:AJ47" si="19">RADIANS(AI5)</f>
        <v>0</v>
      </c>
      <c r="AK5" s="9">
        <f t="shared" si="6"/>
        <v>0</v>
      </c>
    </row>
    <row r="6" spans="1:37" x14ac:dyDescent="0.25">
      <c r="A6" t="s">
        <v>560</v>
      </c>
      <c r="C6" t="s">
        <v>590</v>
      </c>
      <c r="F6" t="s">
        <v>320</v>
      </c>
      <c r="H6" t="s">
        <v>320</v>
      </c>
      <c r="I6">
        <v>0</v>
      </c>
      <c r="J6">
        <v>2692</v>
      </c>
      <c r="K6" t="s">
        <v>8</v>
      </c>
      <c r="L6" t="s">
        <v>11</v>
      </c>
      <c r="M6">
        <v>3</v>
      </c>
      <c r="N6" s="19" t="s">
        <v>228</v>
      </c>
      <c r="O6">
        <f t="shared" si="7"/>
        <v>0</v>
      </c>
      <c r="P6" s="9">
        <f t="shared" si="8"/>
        <v>0</v>
      </c>
      <c r="Q6" s="9">
        <f t="shared" si="0"/>
        <v>0</v>
      </c>
      <c r="R6" s="9">
        <f t="shared" si="9"/>
        <v>0</v>
      </c>
      <c r="S6" s="9">
        <f t="shared" si="10"/>
        <v>0</v>
      </c>
      <c r="T6" s="9">
        <f t="shared" si="1"/>
        <v>0</v>
      </c>
      <c r="U6" s="9" t="s">
        <v>186</v>
      </c>
      <c r="V6" s="9">
        <f t="shared" si="11"/>
        <v>0</v>
      </c>
      <c r="W6" s="9">
        <f t="shared" si="12"/>
        <v>0</v>
      </c>
      <c r="X6" s="9">
        <f t="shared" si="2"/>
        <v>0</v>
      </c>
      <c r="Y6" s="9">
        <f t="shared" si="13"/>
        <v>0</v>
      </c>
      <c r="Z6" s="9">
        <f t="shared" si="14"/>
        <v>0</v>
      </c>
      <c r="AA6" s="9">
        <f t="shared" si="3"/>
        <v>0</v>
      </c>
      <c r="AB6" s="15">
        <v>0</v>
      </c>
      <c r="AC6" s="9">
        <f t="shared" si="15"/>
        <v>0</v>
      </c>
      <c r="AD6" s="9">
        <f t="shared" si="4"/>
        <v>0</v>
      </c>
      <c r="AE6" s="9">
        <f t="shared" si="16"/>
        <v>-10</v>
      </c>
      <c r="AF6" s="9">
        <f t="shared" si="17"/>
        <v>-0.17453292519943295</v>
      </c>
      <c r="AG6" s="9">
        <f t="shared" si="5"/>
        <v>11.193361532410329</v>
      </c>
      <c r="AH6" s="11" t="s">
        <v>82</v>
      </c>
      <c r="AI6" s="9">
        <f t="shared" si="18"/>
        <v>10</v>
      </c>
      <c r="AJ6" s="9">
        <f t="shared" si="19"/>
        <v>0.17453292519943295</v>
      </c>
      <c r="AK6" s="9">
        <f t="shared" si="6"/>
        <v>11.193361532410329</v>
      </c>
    </row>
    <row r="7" spans="1:37" x14ac:dyDescent="0.25">
      <c r="A7" t="s">
        <v>561</v>
      </c>
      <c r="B7" t="s">
        <v>579</v>
      </c>
      <c r="C7" t="s">
        <v>591</v>
      </c>
      <c r="D7" t="s">
        <v>579</v>
      </c>
      <c r="I7">
        <v>0</v>
      </c>
      <c r="J7">
        <v>2685</v>
      </c>
      <c r="K7" t="s">
        <v>8</v>
      </c>
      <c r="L7" t="s">
        <v>12</v>
      </c>
      <c r="M7">
        <v>4</v>
      </c>
      <c r="N7" s="19" t="s">
        <v>228</v>
      </c>
      <c r="O7">
        <f t="shared" si="7"/>
        <v>0</v>
      </c>
      <c r="P7" s="9">
        <f t="shared" si="8"/>
        <v>0</v>
      </c>
      <c r="Q7" s="9">
        <f t="shared" si="0"/>
        <v>0</v>
      </c>
      <c r="R7" s="9">
        <f t="shared" si="9"/>
        <v>0</v>
      </c>
      <c r="S7" s="9">
        <f t="shared" si="10"/>
        <v>0</v>
      </c>
      <c r="T7" s="9">
        <f t="shared" si="1"/>
        <v>0</v>
      </c>
      <c r="U7" s="11" t="s">
        <v>187</v>
      </c>
      <c r="V7" s="9">
        <f t="shared" si="11"/>
        <v>0</v>
      </c>
      <c r="W7" s="9">
        <f t="shared" si="12"/>
        <v>0</v>
      </c>
      <c r="X7" s="9">
        <f t="shared" si="2"/>
        <v>0</v>
      </c>
      <c r="Y7" s="9">
        <f t="shared" si="13"/>
        <v>0</v>
      </c>
      <c r="Z7" s="9">
        <f t="shared" si="14"/>
        <v>0</v>
      </c>
      <c r="AA7" s="9">
        <f t="shared" si="3"/>
        <v>0</v>
      </c>
      <c r="AB7" s="15">
        <v>-15</v>
      </c>
      <c r="AC7" s="9">
        <f t="shared" si="15"/>
        <v>-0.26179938779914941</v>
      </c>
      <c r="AD7" s="9">
        <f t="shared" si="4"/>
        <v>16.683475647308484</v>
      </c>
      <c r="AE7" s="9">
        <f t="shared" si="16"/>
        <v>-25</v>
      </c>
      <c r="AF7" s="9">
        <f t="shared" si="17"/>
        <v>-0.43633231299858238</v>
      </c>
      <c r="AG7" s="9">
        <f t="shared" si="5"/>
        <v>27.241973151805482</v>
      </c>
      <c r="AH7" s="11" t="s">
        <v>83</v>
      </c>
      <c r="AI7" s="9">
        <f t="shared" si="18"/>
        <v>-5</v>
      </c>
      <c r="AJ7" s="9">
        <f t="shared" si="19"/>
        <v>-8.7266462599716474E-2</v>
      </c>
      <c r="AK7" s="9">
        <f t="shared" si="6"/>
        <v>5.6180591775140449</v>
      </c>
    </row>
    <row r="8" spans="1:37" x14ac:dyDescent="0.25">
      <c r="E8" t="s">
        <v>320</v>
      </c>
      <c r="F8" t="s">
        <v>320</v>
      </c>
      <c r="G8" t="s">
        <v>320</v>
      </c>
      <c r="H8" t="s">
        <v>320</v>
      </c>
      <c r="I8">
        <v>0</v>
      </c>
      <c r="J8">
        <v>2702</v>
      </c>
      <c r="K8" t="s">
        <v>8</v>
      </c>
      <c r="L8" t="s">
        <v>13</v>
      </c>
      <c r="M8">
        <v>5</v>
      </c>
      <c r="N8" s="19" t="s">
        <v>228</v>
      </c>
      <c r="O8">
        <f t="shared" si="7"/>
        <v>0</v>
      </c>
      <c r="P8" s="9">
        <f t="shared" si="8"/>
        <v>0</v>
      </c>
      <c r="Q8" s="9">
        <f t="shared" si="0"/>
        <v>0</v>
      </c>
      <c r="R8" s="9">
        <f t="shared" si="9"/>
        <v>0</v>
      </c>
      <c r="S8" s="9">
        <f t="shared" si="10"/>
        <v>0</v>
      </c>
      <c r="T8" s="9">
        <f t="shared" si="1"/>
        <v>0</v>
      </c>
      <c r="U8" s="11" t="s">
        <v>188</v>
      </c>
      <c r="V8" s="9">
        <f t="shared" si="11"/>
        <v>0</v>
      </c>
      <c r="W8" s="9">
        <f t="shared" si="12"/>
        <v>0</v>
      </c>
      <c r="X8" s="9">
        <f t="shared" si="2"/>
        <v>0</v>
      </c>
      <c r="Y8" s="9">
        <f t="shared" si="13"/>
        <v>0</v>
      </c>
      <c r="Z8" s="9">
        <f t="shared" si="14"/>
        <v>0</v>
      </c>
      <c r="AA8" s="9">
        <f t="shared" si="3"/>
        <v>0</v>
      </c>
      <c r="AB8" s="16">
        <v>0</v>
      </c>
      <c r="AC8" s="9">
        <f t="shared" si="15"/>
        <v>0</v>
      </c>
      <c r="AD8" s="9">
        <f t="shared" si="4"/>
        <v>0</v>
      </c>
      <c r="AE8" s="9">
        <f t="shared" si="16"/>
        <v>-10</v>
      </c>
      <c r="AF8" s="9">
        <f t="shared" si="17"/>
        <v>-0.17453292519943295</v>
      </c>
      <c r="AG8" s="9">
        <f t="shared" si="5"/>
        <v>11.193361532410329</v>
      </c>
      <c r="AH8" s="11" t="s">
        <v>84</v>
      </c>
      <c r="AI8" s="9">
        <f t="shared" si="18"/>
        <v>10</v>
      </c>
      <c r="AJ8" s="9">
        <f t="shared" si="19"/>
        <v>0.17453292519943295</v>
      </c>
      <c r="AK8" s="9">
        <f t="shared" si="6"/>
        <v>11.193361532410329</v>
      </c>
    </row>
    <row r="9" spans="1:37" x14ac:dyDescent="0.25">
      <c r="A9" t="s">
        <v>562</v>
      </c>
      <c r="B9" t="s">
        <v>580</v>
      </c>
      <c r="C9" t="s">
        <v>592</v>
      </c>
      <c r="D9" t="s">
        <v>580</v>
      </c>
      <c r="I9">
        <v>0</v>
      </c>
      <c r="J9">
        <v>2642</v>
      </c>
      <c r="K9" t="s">
        <v>14</v>
      </c>
      <c r="L9" t="s">
        <v>9</v>
      </c>
      <c r="M9">
        <v>6</v>
      </c>
      <c r="N9" s="19" t="s">
        <v>228</v>
      </c>
      <c r="O9">
        <f t="shared" si="7"/>
        <v>0</v>
      </c>
      <c r="P9" s="9">
        <f t="shared" si="8"/>
        <v>0</v>
      </c>
      <c r="Q9" s="9">
        <f t="shared" si="0"/>
        <v>0</v>
      </c>
      <c r="R9" s="9">
        <f t="shared" si="9"/>
        <v>0</v>
      </c>
      <c r="S9" s="9">
        <f t="shared" si="10"/>
        <v>0</v>
      </c>
      <c r="T9" s="9">
        <f t="shared" si="1"/>
        <v>0</v>
      </c>
      <c r="U9" s="11" t="s">
        <v>189</v>
      </c>
      <c r="V9" s="9">
        <f t="shared" si="11"/>
        <v>0</v>
      </c>
      <c r="W9" s="9">
        <f t="shared" si="12"/>
        <v>0</v>
      </c>
      <c r="X9" s="9">
        <f t="shared" si="2"/>
        <v>0</v>
      </c>
      <c r="Y9" s="9">
        <f t="shared" si="13"/>
        <v>0</v>
      </c>
      <c r="Z9" s="9">
        <f t="shared" si="14"/>
        <v>0</v>
      </c>
      <c r="AA9" s="9">
        <f t="shared" si="3"/>
        <v>0</v>
      </c>
      <c r="AB9" s="16">
        <v>15</v>
      </c>
      <c r="AC9" s="9">
        <f t="shared" si="15"/>
        <v>0.26179938779914941</v>
      </c>
      <c r="AD9" s="9">
        <f t="shared" si="4"/>
        <v>16.683475647308484</v>
      </c>
      <c r="AE9" s="9">
        <f t="shared" si="16"/>
        <v>5</v>
      </c>
      <c r="AF9" s="9">
        <f t="shared" si="17"/>
        <v>8.7266462599716474E-2</v>
      </c>
      <c r="AG9" s="9">
        <f t="shared" si="5"/>
        <v>5.6180591775140449</v>
      </c>
      <c r="AH9" s="11" t="s">
        <v>85</v>
      </c>
      <c r="AI9" s="9">
        <f t="shared" si="18"/>
        <v>25</v>
      </c>
      <c r="AJ9" s="9">
        <f t="shared" si="19"/>
        <v>0.43633231299858238</v>
      </c>
      <c r="AK9" s="9">
        <f t="shared" si="6"/>
        <v>27.241973151805482</v>
      </c>
    </row>
    <row r="10" spans="1:37" x14ac:dyDescent="0.25">
      <c r="A10" t="s">
        <v>534</v>
      </c>
      <c r="C10" t="s">
        <v>593</v>
      </c>
      <c r="F10" t="s">
        <v>320</v>
      </c>
      <c r="H10" t="s">
        <v>320</v>
      </c>
      <c r="I10">
        <v>0</v>
      </c>
      <c r="J10">
        <v>2655</v>
      </c>
      <c r="K10" t="s">
        <v>14</v>
      </c>
      <c r="L10" t="s">
        <v>11</v>
      </c>
      <c r="M10">
        <v>8</v>
      </c>
      <c r="N10" s="19" t="s">
        <v>228</v>
      </c>
      <c r="O10">
        <f t="shared" si="7"/>
        <v>0</v>
      </c>
      <c r="P10" s="9">
        <f t="shared" si="8"/>
        <v>0</v>
      </c>
      <c r="Q10" s="9">
        <f t="shared" si="0"/>
        <v>0</v>
      </c>
      <c r="R10" s="9">
        <f t="shared" si="9"/>
        <v>0</v>
      </c>
      <c r="S10" s="9">
        <f t="shared" si="10"/>
        <v>0</v>
      </c>
      <c r="T10" s="9">
        <f t="shared" si="1"/>
        <v>0</v>
      </c>
      <c r="U10" s="11" t="s">
        <v>190</v>
      </c>
      <c r="V10" s="9">
        <f t="shared" si="11"/>
        <v>0</v>
      </c>
      <c r="W10" s="9">
        <f t="shared" si="12"/>
        <v>0</v>
      </c>
      <c r="X10" s="9">
        <f t="shared" si="2"/>
        <v>0</v>
      </c>
      <c r="Y10" s="9">
        <f t="shared" si="13"/>
        <v>0</v>
      </c>
      <c r="Z10" s="9">
        <f t="shared" si="14"/>
        <v>0</v>
      </c>
      <c r="AA10" s="9">
        <f t="shared" si="3"/>
        <v>0</v>
      </c>
      <c r="AB10" s="16">
        <v>0</v>
      </c>
      <c r="AC10" s="9">
        <f t="shared" si="15"/>
        <v>0</v>
      </c>
      <c r="AD10" s="9">
        <f t="shared" si="4"/>
        <v>0</v>
      </c>
      <c r="AE10" s="9">
        <f t="shared" si="16"/>
        <v>-10</v>
      </c>
      <c r="AF10" s="9">
        <f t="shared" si="17"/>
        <v>-0.17453292519943295</v>
      </c>
      <c r="AG10" s="9">
        <f t="shared" si="5"/>
        <v>11.193361532410329</v>
      </c>
      <c r="AH10" s="11" t="s">
        <v>87</v>
      </c>
      <c r="AI10" s="9">
        <f t="shared" si="18"/>
        <v>10</v>
      </c>
      <c r="AJ10" s="9">
        <f t="shared" si="19"/>
        <v>0.17453292519943295</v>
      </c>
      <c r="AK10" s="9">
        <f t="shared" si="6"/>
        <v>11.193361532410329</v>
      </c>
    </row>
    <row r="11" spans="1:37" x14ac:dyDescent="0.25">
      <c r="A11" t="s">
        <v>563</v>
      </c>
      <c r="B11" t="s">
        <v>581</v>
      </c>
      <c r="C11" t="s">
        <v>594</v>
      </c>
      <c r="D11" t="s">
        <v>581</v>
      </c>
      <c r="I11">
        <v>0</v>
      </c>
      <c r="J11">
        <v>2640</v>
      </c>
      <c r="K11" t="s">
        <v>14</v>
      </c>
      <c r="L11" t="s">
        <v>12</v>
      </c>
      <c r="M11">
        <v>9</v>
      </c>
      <c r="N11" s="19" t="s">
        <v>228</v>
      </c>
      <c r="O11">
        <f t="shared" si="7"/>
        <v>0</v>
      </c>
      <c r="P11" s="9">
        <f t="shared" si="8"/>
        <v>0</v>
      </c>
      <c r="Q11" s="9">
        <f t="shared" si="0"/>
        <v>0</v>
      </c>
      <c r="R11" s="9">
        <f t="shared" si="9"/>
        <v>0</v>
      </c>
      <c r="S11" s="9">
        <f t="shared" si="10"/>
        <v>0</v>
      </c>
      <c r="T11" s="9">
        <f t="shared" si="1"/>
        <v>0</v>
      </c>
      <c r="U11" s="11" t="s">
        <v>191</v>
      </c>
      <c r="V11" s="9">
        <f t="shared" si="11"/>
        <v>0</v>
      </c>
      <c r="W11" s="9">
        <f t="shared" si="12"/>
        <v>0</v>
      </c>
      <c r="X11" s="9">
        <f t="shared" si="2"/>
        <v>0</v>
      </c>
      <c r="Y11" s="9">
        <f t="shared" si="13"/>
        <v>0</v>
      </c>
      <c r="Z11" s="9">
        <f t="shared" si="14"/>
        <v>0</v>
      </c>
      <c r="AA11" s="9">
        <f t="shared" si="3"/>
        <v>0</v>
      </c>
      <c r="AB11" s="16">
        <v>-15</v>
      </c>
      <c r="AC11" s="9">
        <f t="shared" si="15"/>
        <v>-0.26179938779914941</v>
      </c>
      <c r="AD11" s="9">
        <f t="shared" si="4"/>
        <v>16.683475647308484</v>
      </c>
      <c r="AE11" s="9">
        <f t="shared" si="16"/>
        <v>-25</v>
      </c>
      <c r="AF11" s="9">
        <f t="shared" si="17"/>
        <v>-0.43633231299858238</v>
      </c>
      <c r="AG11" s="9">
        <f t="shared" si="5"/>
        <v>27.241973151805482</v>
      </c>
      <c r="AH11" s="11" t="s">
        <v>88</v>
      </c>
      <c r="AI11" s="9">
        <f t="shared" si="18"/>
        <v>-5</v>
      </c>
      <c r="AJ11" s="9">
        <f t="shared" si="19"/>
        <v>-8.7266462599716474E-2</v>
      </c>
      <c r="AK11" s="9">
        <f t="shared" si="6"/>
        <v>5.6180591775140449</v>
      </c>
    </row>
    <row r="12" spans="1:37" x14ac:dyDescent="0.25">
      <c r="E12" t="s">
        <v>320</v>
      </c>
      <c r="F12" t="s">
        <v>320</v>
      </c>
      <c r="G12" t="s">
        <v>320</v>
      </c>
      <c r="H12" t="s">
        <v>320</v>
      </c>
      <c r="I12">
        <v>0</v>
      </c>
      <c r="J12">
        <v>2661</v>
      </c>
      <c r="K12" t="s">
        <v>14</v>
      </c>
      <c r="L12" t="s">
        <v>13</v>
      </c>
      <c r="M12">
        <v>10</v>
      </c>
      <c r="N12" s="19" t="s">
        <v>228</v>
      </c>
      <c r="O12">
        <f t="shared" si="7"/>
        <v>0</v>
      </c>
      <c r="P12" s="9">
        <f t="shared" si="8"/>
        <v>0</v>
      </c>
      <c r="Q12" s="9">
        <f t="shared" si="0"/>
        <v>0</v>
      </c>
      <c r="R12" s="9">
        <f t="shared" si="9"/>
        <v>0</v>
      </c>
      <c r="S12" s="9">
        <f t="shared" si="10"/>
        <v>0</v>
      </c>
      <c r="T12" s="9">
        <f t="shared" si="1"/>
        <v>0</v>
      </c>
      <c r="U12" s="11" t="s">
        <v>192</v>
      </c>
      <c r="V12" s="9">
        <f t="shared" si="11"/>
        <v>0</v>
      </c>
      <c r="W12" s="9">
        <f t="shared" si="12"/>
        <v>0</v>
      </c>
      <c r="X12" s="9">
        <f t="shared" si="2"/>
        <v>0</v>
      </c>
      <c r="Y12" s="9">
        <f t="shared" si="13"/>
        <v>0</v>
      </c>
      <c r="Z12" s="9">
        <f t="shared" si="14"/>
        <v>0</v>
      </c>
      <c r="AA12" s="9">
        <f t="shared" si="3"/>
        <v>0</v>
      </c>
      <c r="AB12" s="16">
        <v>0</v>
      </c>
      <c r="AC12" s="9">
        <f t="shared" si="15"/>
        <v>0</v>
      </c>
      <c r="AD12" s="9">
        <f t="shared" si="4"/>
        <v>0</v>
      </c>
      <c r="AE12" s="9">
        <f t="shared" si="16"/>
        <v>-10</v>
      </c>
      <c r="AF12" s="9">
        <f t="shared" si="17"/>
        <v>-0.17453292519943295</v>
      </c>
      <c r="AG12" s="9">
        <f t="shared" si="5"/>
        <v>11.193361532410329</v>
      </c>
      <c r="AH12" s="11" t="s">
        <v>89</v>
      </c>
      <c r="AI12" s="9">
        <f t="shared" si="18"/>
        <v>10</v>
      </c>
      <c r="AJ12" s="9">
        <f t="shared" si="19"/>
        <v>0.17453292519943295</v>
      </c>
      <c r="AK12" s="9">
        <f t="shared" si="6"/>
        <v>11.193361532410329</v>
      </c>
    </row>
    <row r="13" spans="1:37" x14ac:dyDescent="0.25">
      <c r="A13" t="s">
        <v>564</v>
      </c>
      <c r="B13" t="s">
        <v>582</v>
      </c>
      <c r="G13" t="s">
        <v>320</v>
      </c>
      <c r="H13" t="s">
        <v>320</v>
      </c>
      <c r="I13">
        <v>-2</v>
      </c>
      <c r="J13">
        <v>278</v>
      </c>
      <c r="K13" t="s">
        <v>15</v>
      </c>
      <c r="L13" t="s">
        <v>16</v>
      </c>
      <c r="M13">
        <v>11</v>
      </c>
      <c r="N13" s="19" t="s">
        <v>229</v>
      </c>
      <c r="O13">
        <f t="shared" si="7"/>
        <v>-12</v>
      </c>
      <c r="P13" s="9">
        <f t="shared" si="8"/>
        <v>-0.20943951023931956</v>
      </c>
      <c r="Q13" s="9">
        <f t="shared" si="0"/>
        <v>13.401987590112766</v>
      </c>
      <c r="R13" s="9">
        <f t="shared" si="9"/>
        <v>-22</v>
      </c>
      <c r="S13" s="9">
        <f t="shared" si="10"/>
        <v>-0.38397243543875248</v>
      </c>
      <c r="T13" s="9">
        <f t="shared" si="1"/>
        <v>24.147141011589685</v>
      </c>
      <c r="U13" s="11" t="s">
        <v>193</v>
      </c>
      <c r="V13" s="9">
        <f t="shared" si="11"/>
        <v>0</v>
      </c>
      <c r="W13" s="9">
        <f t="shared" si="12"/>
        <v>0</v>
      </c>
      <c r="X13" s="9">
        <f t="shared" si="2"/>
        <v>0</v>
      </c>
      <c r="Y13" s="9">
        <f t="shared" si="13"/>
        <v>10</v>
      </c>
      <c r="Z13" s="9">
        <f t="shared" si="14"/>
        <v>0.17453292519943295</v>
      </c>
      <c r="AA13" s="9">
        <f t="shared" si="3"/>
        <v>11.193361532410329</v>
      </c>
      <c r="AB13" s="16">
        <v>0</v>
      </c>
      <c r="AC13" s="9">
        <f t="shared" si="15"/>
        <v>0</v>
      </c>
      <c r="AD13" s="9">
        <f t="shared" si="4"/>
        <v>0</v>
      </c>
      <c r="AE13" s="9">
        <f t="shared" si="16"/>
        <v>0</v>
      </c>
      <c r="AF13" s="9">
        <f t="shared" si="17"/>
        <v>0</v>
      </c>
      <c r="AG13" s="9">
        <f t="shared" si="5"/>
        <v>0</v>
      </c>
      <c r="AH13" s="11" t="s">
        <v>90</v>
      </c>
      <c r="AI13" s="9">
        <f t="shared" si="18"/>
        <v>0</v>
      </c>
      <c r="AJ13" s="9">
        <f t="shared" si="19"/>
        <v>0</v>
      </c>
      <c r="AK13" s="9">
        <f t="shared" si="6"/>
        <v>0</v>
      </c>
    </row>
    <row r="14" spans="1:37" x14ac:dyDescent="0.25">
      <c r="A14" t="s">
        <v>565</v>
      </c>
      <c r="C14" t="s">
        <v>595</v>
      </c>
      <c r="F14" t="s">
        <v>320</v>
      </c>
      <c r="H14" t="s">
        <v>320</v>
      </c>
      <c r="I14">
        <v>0</v>
      </c>
      <c r="J14">
        <v>290</v>
      </c>
      <c r="K14" t="s">
        <v>15</v>
      </c>
      <c r="L14" t="s">
        <v>11</v>
      </c>
      <c r="M14">
        <v>12</v>
      </c>
      <c r="N14" s="19" t="s">
        <v>228</v>
      </c>
      <c r="O14">
        <f t="shared" si="7"/>
        <v>0</v>
      </c>
      <c r="P14" s="9">
        <f t="shared" si="8"/>
        <v>0</v>
      </c>
      <c r="Q14" s="9">
        <f t="shared" si="0"/>
        <v>0</v>
      </c>
      <c r="R14" s="9">
        <f t="shared" si="9"/>
        <v>0</v>
      </c>
      <c r="S14" s="9">
        <f t="shared" si="10"/>
        <v>0</v>
      </c>
      <c r="T14" s="9">
        <f t="shared" si="1"/>
        <v>0</v>
      </c>
      <c r="U14" s="11" t="s">
        <v>194</v>
      </c>
      <c r="V14" s="9">
        <f t="shared" si="11"/>
        <v>0</v>
      </c>
      <c r="W14" s="9">
        <f t="shared" si="12"/>
        <v>0</v>
      </c>
      <c r="X14" s="9">
        <f t="shared" si="2"/>
        <v>0</v>
      </c>
      <c r="Y14" s="9">
        <f t="shared" si="13"/>
        <v>0</v>
      </c>
      <c r="Z14" s="9">
        <f t="shared" si="14"/>
        <v>0</v>
      </c>
      <c r="AA14" s="9">
        <f t="shared" si="3"/>
        <v>0</v>
      </c>
      <c r="AB14" s="16">
        <v>0</v>
      </c>
      <c r="AC14" s="9">
        <f t="shared" si="15"/>
        <v>0</v>
      </c>
      <c r="AD14" s="9">
        <f t="shared" si="4"/>
        <v>0</v>
      </c>
      <c r="AE14" s="9">
        <f t="shared" si="16"/>
        <v>-10</v>
      </c>
      <c r="AF14" s="9">
        <f t="shared" si="17"/>
        <v>-0.17453292519943295</v>
      </c>
      <c r="AG14" s="9">
        <f t="shared" si="5"/>
        <v>11.193361532410329</v>
      </c>
      <c r="AH14" s="11" t="s">
        <v>91</v>
      </c>
      <c r="AI14" s="9">
        <f t="shared" si="18"/>
        <v>10</v>
      </c>
      <c r="AJ14" s="9">
        <f t="shared" si="19"/>
        <v>0.17453292519943295</v>
      </c>
      <c r="AK14" s="9">
        <f t="shared" si="6"/>
        <v>11.193361532410329</v>
      </c>
    </row>
    <row r="15" spans="1:37" x14ac:dyDescent="0.25">
      <c r="A15" t="s">
        <v>566</v>
      </c>
      <c r="B15" t="s">
        <v>583</v>
      </c>
      <c r="G15" t="s">
        <v>320</v>
      </c>
      <c r="H15" t="s">
        <v>320</v>
      </c>
      <c r="I15">
        <v>6.5</v>
      </c>
      <c r="J15">
        <v>373</v>
      </c>
      <c r="K15" t="s">
        <v>15</v>
      </c>
      <c r="L15" t="s">
        <v>350</v>
      </c>
      <c r="M15">
        <v>13</v>
      </c>
      <c r="N15" s="19" t="s">
        <v>229</v>
      </c>
      <c r="O15">
        <f t="shared" si="7"/>
        <v>-3.5</v>
      </c>
      <c r="P15" s="9">
        <f t="shared" ref="P15" si="20">RADIANS(O15)</f>
        <v>-6.1086523819801536E-2</v>
      </c>
      <c r="Q15" s="9">
        <f t="shared" si="0"/>
        <v>3.9351888584168737</v>
      </c>
      <c r="R15" s="9">
        <f t="shared" ref="R15" si="21">IF($N15="pitch",O15-10, O15)</f>
        <v>-13.5</v>
      </c>
      <c r="S15" s="9">
        <f t="shared" ref="S15" si="22">RADIANS(R15)</f>
        <v>-0.23561944901923448</v>
      </c>
      <c r="T15" s="9">
        <f t="shared" si="1"/>
        <v>15.047888154151661</v>
      </c>
      <c r="U15" s="11" t="s">
        <v>194</v>
      </c>
      <c r="V15" s="9">
        <f t="shared" si="11"/>
        <v>8.5</v>
      </c>
      <c r="W15" s="9">
        <f t="shared" ref="W15" si="23">RADIANS(V15)</f>
        <v>0.14835298641951802</v>
      </c>
      <c r="X15" s="9">
        <f t="shared" si="2"/>
        <v>9.527794641414701</v>
      </c>
      <c r="Y15" s="9">
        <f t="shared" si="13"/>
        <v>18.5</v>
      </c>
      <c r="Z15" s="9">
        <f t="shared" si="14"/>
        <v>0.32288591161895097</v>
      </c>
      <c r="AA15" s="9">
        <f t="shared" si="3"/>
        <v>20.453458151872237</v>
      </c>
      <c r="AB15" s="16">
        <v>0</v>
      </c>
      <c r="AC15" s="9">
        <f t="shared" ref="AC15" si="24">RADIANS(AB15)</f>
        <v>0</v>
      </c>
      <c r="AD15" s="9">
        <f t="shared" ref="AD15" si="25">IF(AC15&gt;0,$K$61*SIN(AC15), $K$61*SIN(-AC15))</f>
        <v>0</v>
      </c>
      <c r="AE15" s="9">
        <f t="shared" ref="AE15" si="26">IF($N15="yaw",AB15-10, AB15)</f>
        <v>0</v>
      </c>
      <c r="AF15" s="9">
        <f t="shared" ref="AF15" si="27">RADIANS(AE15)</f>
        <v>0</v>
      </c>
      <c r="AG15" s="9">
        <f t="shared" ref="AG15" si="28">IF(AF15&gt;0,$K$61*SIN(AF15), $K$61*SIN(-AF15))</f>
        <v>0</v>
      </c>
      <c r="AH15" s="11" t="s">
        <v>91</v>
      </c>
      <c r="AI15" s="9">
        <f t="shared" ref="AI15" si="29">IF($N15="yaw",AB15+10, AB15)</f>
        <v>0</v>
      </c>
      <c r="AJ15" s="9">
        <f t="shared" ref="AJ15" si="30">RADIANS(AI15)</f>
        <v>0</v>
      </c>
      <c r="AK15" s="9">
        <f t="shared" ref="AK15" si="31">IF(AJ15&gt;0,$K$61*SIN(AJ15), $K$61*SIN(-AJ15))</f>
        <v>0</v>
      </c>
    </row>
    <row r="16" spans="1:37" x14ac:dyDescent="0.25">
      <c r="A16" t="s">
        <v>567</v>
      </c>
      <c r="B16" t="s">
        <v>584</v>
      </c>
      <c r="G16" t="s">
        <v>320</v>
      </c>
      <c r="H16" t="s">
        <v>320</v>
      </c>
      <c r="I16">
        <v>6.5</v>
      </c>
      <c r="J16">
        <v>287</v>
      </c>
      <c r="K16" t="s">
        <v>15</v>
      </c>
      <c r="L16" t="s">
        <v>351</v>
      </c>
      <c r="M16">
        <v>14</v>
      </c>
      <c r="N16" s="19" t="s">
        <v>229</v>
      </c>
      <c r="O16">
        <f t="shared" si="7"/>
        <v>-3.5</v>
      </c>
      <c r="P16" s="9">
        <f t="shared" si="8"/>
        <v>-6.1086523819801536E-2</v>
      </c>
      <c r="Q16" s="9">
        <f t="shared" si="0"/>
        <v>3.9351888584168737</v>
      </c>
      <c r="R16" s="9">
        <f t="shared" si="9"/>
        <v>-13.5</v>
      </c>
      <c r="S16" s="9">
        <f t="shared" si="10"/>
        <v>-0.23561944901923448</v>
      </c>
      <c r="T16" s="9">
        <f t="shared" si="1"/>
        <v>15.047888154151661</v>
      </c>
      <c r="U16" s="11" t="s">
        <v>195</v>
      </c>
      <c r="V16" s="9">
        <f t="shared" si="11"/>
        <v>8.5</v>
      </c>
      <c r="W16" s="9">
        <f t="shared" si="12"/>
        <v>0.14835298641951802</v>
      </c>
      <c r="X16" s="9">
        <f t="shared" si="2"/>
        <v>9.527794641414701</v>
      </c>
      <c r="Y16" s="9">
        <f t="shared" si="13"/>
        <v>18.5</v>
      </c>
      <c r="Z16" s="9">
        <f t="shared" si="14"/>
        <v>0.32288591161895097</v>
      </c>
      <c r="AA16" s="9">
        <f t="shared" si="3"/>
        <v>20.453458151872237</v>
      </c>
      <c r="AB16" s="16">
        <v>0</v>
      </c>
      <c r="AC16" s="9">
        <f t="shared" si="15"/>
        <v>0</v>
      </c>
      <c r="AD16" s="9">
        <f>IF(AC16&gt;0,$K$61*SIN(AC16), $K$61*SIN(-AC16))</f>
        <v>0</v>
      </c>
      <c r="AE16" s="9">
        <f t="shared" si="16"/>
        <v>0</v>
      </c>
      <c r="AF16" s="9">
        <f t="shared" si="17"/>
        <v>0</v>
      </c>
      <c r="AG16" s="9">
        <f>IF(AF16&gt;0,$K$61*SIN(AF16), $K$61*SIN(-AF16))</f>
        <v>0</v>
      </c>
      <c r="AH16" s="11" t="s">
        <v>92</v>
      </c>
      <c r="AI16" s="9">
        <f t="shared" si="18"/>
        <v>0</v>
      </c>
      <c r="AJ16" s="9">
        <f t="shared" si="19"/>
        <v>0</v>
      </c>
      <c r="AK16" s="9">
        <f>IF(AJ16&gt;0,$K$61*SIN(AJ16), $K$61*SIN(-AJ16))</f>
        <v>0</v>
      </c>
    </row>
    <row r="17" spans="1:37" x14ac:dyDescent="0.25">
      <c r="E17" t="s">
        <v>320</v>
      </c>
      <c r="F17" t="s">
        <v>320</v>
      </c>
      <c r="G17" t="s">
        <v>320</v>
      </c>
      <c r="H17" t="s">
        <v>320</v>
      </c>
      <c r="I17">
        <v>0</v>
      </c>
      <c r="J17">
        <v>279</v>
      </c>
      <c r="K17" t="s">
        <v>15</v>
      </c>
      <c r="L17" t="s">
        <v>13</v>
      </c>
      <c r="M17">
        <v>15</v>
      </c>
      <c r="N17" s="19" t="s">
        <v>228</v>
      </c>
      <c r="O17">
        <f t="shared" si="7"/>
        <v>0</v>
      </c>
      <c r="P17" s="9">
        <f t="shared" si="8"/>
        <v>0</v>
      </c>
      <c r="Q17" s="9">
        <f t="shared" si="0"/>
        <v>0</v>
      </c>
      <c r="R17" s="9">
        <f t="shared" si="9"/>
        <v>0</v>
      </c>
      <c r="S17" s="9">
        <f t="shared" si="10"/>
        <v>0</v>
      </c>
      <c r="T17" s="9">
        <f t="shared" si="1"/>
        <v>0</v>
      </c>
      <c r="U17" s="11" t="s">
        <v>196</v>
      </c>
      <c r="V17" s="9">
        <f t="shared" si="11"/>
        <v>0</v>
      </c>
      <c r="W17" s="9">
        <f t="shared" si="12"/>
        <v>0</v>
      </c>
      <c r="X17" s="9">
        <f t="shared" si="2"/>
        <v>0</v>
      </c>
      <c r="Y17" s="9">
        <f t="shared" si="13"/>
        <v>0</v>
      </c>
      <c r="Z17" s="9">
        <f t="shared" si="14"/>
        <v>0</v>
      </c>
      <c r="AA17" s="9">
        <f t="shared" si="3"/>
        <v>0</v>
      </c>
      <c r="AB17" s="16">
        <v>0</v>
      </c>
      <c r="AC17" s="9">
        <f t="shared" si="15"/>
        <v>0</v>
      </c>
      <c r="AD17" s="9">
        <f>IF(AC17&gt;0,$K$61*SIN(AC17), $K$61*SIN(-AC17))</f>
        <v>0</v>
      </c>
      <c r="AE17" s="9">
        <f t="shared" si="16"/>
        <v>-10</v>
      </c>
      <c r="AF17" s="9">
        <f t="shared" si="17"/>
        <v>-0.17453292519943295</v>
      </c>
      <c r="AG17" s="9">
        <f>IF(AF17&gt;0,$K$61*SIN(AF17), $K$61*SIN(-AF17))</f>
        <v>11.193361532410329</v>
      </c>
      <c r="AH17" s="11" t="s">
        <v>93</v>
      </c>
      <c r="AI17" s="9">
        <f t="shared" si="18"/>
        <v>10</v>
      </c>
      <c r="AJ17" s="9">
        <f t="shared" si="19"/>
        <v>0.17453292519943295</v>
      </c>
      <c r="AK17" s="9">
        <f>IF(AJ17&gt;0,$K$61*SIN(AJ17), $K$61*SIN(-AJ17))</f>
        <v>11.193361532410329</v>
      </c>
    </row>
    <row r="18" spans="1:37" x14ac:dyDescent="0.25">
      <c r="C18" t="s">
        <v>533</v>
      </c>
      <c r="D18" t="s">
        <v>610</v>
      </c>
      <c r="E18" t="s">
        <v>320</v>
      </c>
      <c r="F18" t="s">
        <v>320</v>
      </c>
      <c r="I18">
        <v>6.5</v>
      </c>
      <c r="J18">
        <v>285</v>
      </c>
      <c r="K18" t="s">
        <v>15</v>
      </c>
      <c r="L18" t="s">
        <v>21</v>
      </c>
      <c r="M18">
        <v>16</v>
      </c>
      <c r="N18" s="19" t="s">
        <v>229</v>
      </c>
      <c r="O18">
        <f t="shared" si="7"/>
        <v>-3.5</v>
      </c>
      <c r="P18" s="9">
        <f t="shared" ref="P18" si="32">RADIANS(O18)</f>
        <v>-6.1086523819801536E-2</v>
      </c>
      <c r="Q18" s="9">
        <f t="shared" ref="Q18" si="33">IF(P18&gt;0,$K$61*SIN(P18), $K$61*SIN(-P18))</f>
        <v>3.9351888584168737</v>
      </c>
      <c r="R18" s="9">
        <f t="shared" ref="R18" si="34">IF($N18="pitch",O18-10, O18)</f>
        <v>-13.5</v>
      </c>
      <c r="S18" s="9">
        <f t="shared" ref="S18" si="35">RADIANS(R18)</f>
        <v>-0.23561944901923448</v>
      </c>
      <c r="T18" s="9">
        <f t="shared" ref="T18" si="36">IF(S18&gt;0,$K$61*SIN(S18), $K$61*SIN(-S18))</f>
        <v>15.047888154151661</v>
      </c>
      <c r="U18" s="11" t="s">
        <v>196</v>
      </c>
      <c r="V18" s="9">
        <f t="shared" si="11"/>
        <v>8.5</v>
      </c>
      <c r="W18" s="9">
        <f t="shared" ref="W18" si="37">RADIANS(V18)</f>
        <v>0.14835298641951802</v>
      </c>
      <c r="X18" s="9">
        <f t="shared" ref="X18" si="38">IF(W18&gt;0,$K$61*SIN(W18), $K$61*SIN(-W18))</f>
        <v>9.527794641414701</v>
      </c>
      <c r="Y18" s="9">
        <f t="shared" si="13"/>
        <v>18.5</v>
      </c>
      <c r="Z18" s="9">
        <f t="shared" si="14"/>
        <v>0.32288591161895097</v>
      </c>
      <c r="AA18" s="9">
        <f t="shared" si="3"/>
        <v>20.453458151872237</v>
      </c>
      <c r="AB18" s="16">
        <v>0</v>
      </c>
      <c r="AC18" s="9">
        <f t="shared" ref="AC18" si="39">RADIANS(AB18)</f>
        <v>0</v>
      </c>
      <c r="AD18" s="9">
        <f t="shared" ref="AD18" si="40">IF(AC18&gt;0,$K$61*SIN(AC18), $K$61*SIN(-AC18))</f>
        <v>0</v>
      </c>
      <c r="AE18" s="9">
        <f t="shared" ref="AE18" si="41">IF($N18="yaw",AB18-10, AB18)</f>
        <v>0</v>
      </c>
      <c r="AF18" s="9">
        <f t="shared" ref="AF18" si="42">RADIANS(AE18)</f>
        <v>0</v>
      </c>
      <c r="AG18" s="9">
        <f t="shared" ref="AG18" si="43">IF(AF18&gt;0,$K$61*SIN(AF18), $K$61*SIN(-AF18))</f>
        <v>0</v>
      </c>
      <c r="AH18" s="11" t="s">
        <v>93</v>
      </c>
      <c r="AI18" s="9">
        <f t="shared" ref="AI18" si="44">IF($N18="yaw",AB18+10, AB18)</f>
        <v>0</v>
      </c>
      <c r="AJ18" s="9">
        <f t="shared" ref="AJ18" si="45">RADIANS(AI18)</f>
        <v>0</v>
      </c>
      <c r="AK18" s="9">
        <f t="shared" ref="AK18" si="46">IF(AJ18&gt;0,$K$61*SIN(AJ18), $K$61*SIN(-AJ18))</f>
        <v>0</v>
      </c>
    </row>
    <row r="19" spans="1:37" x14ac:dyDescent="0.25">
      <c r="A19" t="s">
        <v>568</v>
      </c>
      <c r="B19" t="s">
        <v>565</v>
      </c>
      <c r="C19" t="s">
        <v>596</v>
      </c>
      <c r="D19" t="s">
        <v>595</v>
      </c>
      <c r="I19">
        <v>0</v>
      </c>
      <c r="J19">
        <v>27</v>
      </c>
      <c r="K19" t="s">
        <v>17</v>
      </c>
      <c r="L19" t="s">
        <v>16</v>
      </c>
      <c r="M19">
        <v>17</v>
      </c>
      <c r="N19" s="19" t="s">
        <v>228</v>
      </c>
      <c r="O19">
        <f t="shared" si="7"/>
        <v>0</v>
      </c>
      <c r="P19" s="9">
        <f t="shared" si="8"/>
        <v>0</v>
      </c>
      <c r="Q19" s="9">
        <f t="shared" ref="Q19:Q59" si="47">IF(P19&gt;0,$K$61*SIN(P19), $K$61*SIN(-P19))</f>
        <v>0</v>
      </c>
      <c r="R19" s="9">
        <f t="shared" si="9"/>
        <v>0</v>
      </c>
      <c r="S19" s="9">
        <f t="shared" si="10"/>
        <v>0</v>
      </c>
      <c r="T19" s="9">
        <f t="shared" ref="T19:T59" si="48">IF(S19&gt;0,$K$61*SIN(S19), $K$61*SIN(-S19))</f>
        <v>0</v>
      </c>
      <c r="U19" s="11" t="s">
        <v>197</v>
      </c>
      <c r="V19" s="9">
        <f t="shared" si="11"/>
        <v>0</v>
      </c>
      <c r="W19" s="9">
        <f t="shared" si="12"/>
        <v>0</v>
      </c>
      <c r="X19" s="9">
        <f t="shared" ref="X19:X59" si="49">IF(W19&gt;0,$K$61*SIN(W19), $K$61*SIN(-W19))</f>
        <v>0</v>
      </c>
      <c r="Y19" s="9">
        <f t="shared" si="13"/>
        <v>0</v>
      </c>
      <c r="Z19" s="9">
        <f t="shared" si="14"/>
        <v>0</v>
      </c>
      <c r="AA19" s="9">
        <f t="shared" si="3"/>
        <v>0</v>
      </c>
      <c r="AB19" s="16">
        <v>10</v>
      </c>
      <c r="AC19" s="9">
        <f t="shared" si="15"/>
        <v>0.17453292519943295</v>
      </c>
      <c r="AD19" s="9">
        <f t="shared" ref="AD19:AD47" si="50">IF(AC19&gt;0,$K$61*SIN(AC19), $K$61*SIN(-AC19))</f>
        <v>11.193361532410329</v>
      </c>
      <c r="AE19" s="9">
        <f t="shared" si="16"/>
        <v>0</v>
      </c>
      <c r="AF19" s="9">
        <f t="shared" si="17"/>
        <v>0</v>
      </c>
      <c r="AG19" s="9">
        <f t="shared" ref="AG19:AG47" si="51">IF(AF19&gt;0,$K$61*SIN(AF19), $K$61*SIN(-AF19))</f>
        <v>0</v>
      </c>
      <c r="AH19" s="11" t="s">
        <v>94</v>
      </c>
      <c r="AI19" s="9">
        <f t="shared" si="18"/>
        <v>20</v>
      </c>
      <c r="AJ19" s="9">
        <f t="shared" si="19"/>
        <v>0.3490658503988659</v>
      </c>
      <c r="AK19" s="9">
        <f t="shared" ref="AK19:AK47" si="52">IF(AJ19&gt;0,$K$61*SIN(AJ19), $K$61*SIN(-AJ19))</f>
        <v>22.046618438772605</v>
      </c>
    </row>
    <row r="20" spans="1:37" x14ac:dyDescent="0.25">
      <c r="A20" t="s">
        <v>569</v>
      </c>
      <c r="C20" t="s">
        <v>585</v>
      </c>
      <c r="F20" t="s">
        <v>320</v>
      </c>
      <c r="H20" t="s">
        <v>320</v>
      </c>
      <c r="I20">
        <v>0</v>
      </c>
      <c r="J20">
        <v>38</v>
      </c>
      <c r="K20" t="s">
        <v>17</v>
      </c>
      <c r="L20" t="s">
        <v>11</v>
      </c>
      <c r="M20">
        <v>18</v>
      </c>
      <c r="N20" s="19" t="s">
        <v>228</v>
      </c>
      <c r="O20">
        <f t="shared" si="7"/>
        <v>0</v>
      </c>
      <c r="P20" s="9">
        <f t="shared" si="8"/>
        <v>0</v>
      </c>
      <c r="Q20" s="9">
        <f t="shared" si="47"/>
        <v>0</v>
      </c>
      <c r="R20" s="9">
        <f t="shared" si="9"/>
        <v>0</v>
      </c>
      <c r="S20" s="9">
        <f t="shared" si="10"/>
        <v>0</v>
      </c>
      <c r="T20" s="9">
        <f t="shared" si="48"/>
        <v>0</v>
      </c>
      <c r="U20" s="11" t="s">
        <v>198</v>
      </c>
      <c r="V20" s="9">
        <f t="shared" si="11"/>
        <v>0</v>
      </c>
      <c r="W20" s="9">
        <f t="shared" si="12"/>
        <v>0</v>
      </c>
      <c r="X20" s="9">
        <f t="shared" si="49"/>
        <v>0</v>
      </c>
      <c r="Y20" s="9">
        <f t="shared" si="13"/>
        <v>0</v>
      </c>
      <c r="Z20" s="9">
        <f t="shared" si="14"/>
        <v>0</v>
      </c>
      <c r="AA20" s="9">
        <f t="shared" si="3"/>
        <v>0</v>
      </c>
      <c r="AB20" s="16">
        <v>0</v>
      </c>
      <c r="AC20" s="9">
        <f t="shared" si="15"/>
        <v>0</v>
      </c>
      <c r="AD20" s="9">
        <f t="shared" si="50"/>
        <v>0</v>
      </c>
      <c r="AE20" s="9">
        <f t="shared" si="16"/>
        <v>-10</v>
      </c>
      <c r="AF20" s="9">
        <f t="shared" si="17"/>
        <v>-0.17453292519943295</v>
      </c>
      <c r="AG20" s="9">
        <f t="shared" si="51"/>
        <v>11.193361532410329</v>
      </c>
      <c r="AH20" s="11" t="s">
        <v>95</v>
      </c>
      <c r="AI20" s="9">
        <f t="shared" si="18"/>
        <v>10</v>
      </c>
      <c r="AJ20" s="9">
        <f t="shared" si="19"/>
        <v>0.17453292519943295</v>
      </c>
      <c r="AK20" s="9">
        <f t="shared" si="52"/>
        <v>11.193361532410329</v>
      </c>
    </row>
    <row r="21" spans="1:37" x14ac:dyDescent="0.25">
      <c r="E21" t="s">
        <v>320</v>
      </c>
      <c r="F21" t="s">
        <v>320</v>
      </c>
      <c r="G21" t="s">
        <v>320</v>
      </c>
      <c r="H21" t="s">
        <v>320</v>
      </c>
      <c r="I21">
        <v>0</v>
      </c>
      <c r="J21">
        <v>40</v>
      </c>
      <c r="K21" t="s">
        <v>17</v>
      </c>
      <c r="L21" t="s">
        <v>13</v>
      </c>
      <c r="M21">
        <v>19</v>
      </c>
      <c r="N21" s="19" t="s">
        <v>228</v>
      </c>
      <c r="O21">
        <f t="shared" si="7"/>
        <v>0</v>
      </c>
      <c r="P21" s="9">
        <f t="shared" si="8"/>
        <v>0</v>
      </c>
      <c r="Q21" s="9">
        <f t="shared" si="47"/>
        <v>0</v>
      </c>
      <c r="R21" s="9">
        <f t="shared" si="9"/>
        <v>0</v>
      </c>
      <c r="S21" s="9">
        <f t="shared" si="10"/>
        <v>0</v>
      </c>
      <c r="T21" s="9">
        <f t="shared" si="48"/>
        <v>0</v>
      </c>
      <c r="U21" s="11" t="s">
        <v>199</v>
      </c>
      <c r="V21" s="9">
        <f t="shared" si="11"/>
        <v>0</v>
      </c>
      <c r="W21" s="9">
        <f t="shared" si="12"/>
        <v>0</v>
      </c>
      <c r="X21" s="9">
        <f t="shared" si="49"/>
        <v>0</v>
      </c>
      <c r="Y21" s="9">
        <f t="shared" si="13"/>
        <v>0</v>
      </c>
      <c r="Z21" s="9">
        <f t="shared" si="14"/>
        <v>0</v>
      </c>
      <c r="AA21" s="9">
        <f t="shared" si="3"/>
        <v>0</v>
      </c>
      <c r="AB21" s="16">
        <v>0</v>
      </c>
      <c r="AC21" s="9">
        <f t="shared" si="15"/>
        <v>0</v>
      </c>
      <c r="AD21" s="9">
        <f t="shared" si="50"/>
        <v>0</v>
      </c>
      <c r="AE21" s="9">
        <f t="shared" si="16"/>
        <v>-10</v>
      </c>
      <c r="AF21" s="9">
        <f t="shared" si="17"/>
        <v>-0.17453292519943295</v>
      </c>
      <c r="AG21" s="9">
        <f t="shared" si="51"/>
        <v>11.193361532410329</v>
      </c>
      <c r="AH21" s="11" t="s">
        <v>96</v>
      </c>
      <c r="AI21" s="9">
        <f t="shared" si="18"/>
        <v>10</v>
      </c>
      <c r="AJ21" s="9">
        <f t="shared" si="19"/>
        <v>0.17453292519943295</v>
      </c>
      <c r="AK21" s="9">
        <f t="shared" si="52"/>
        <v>11.193361532410329</v>
      </c>
    </row>
    <row r="22" spans="1:37" x14ac:dyDescent="0.25">
      <c r="B22" t="s">
        <v>585</v>
      </c>
      <c r="D22" t="s">
        <v>611</v>
      </c>
      <c r="E22" t="s">
        <v>320</v>
      </c>
      <c r="G22" t="s">
        <v>320</v>
      </c>
      <c r="I22">
        <v>0</v>
      </c>
      <c r="J22">
        <v>76</v>
      </c>
      <c r="K22" t="s">
        <v>18</v>
      </c>
      <c r="L22" t="s">
        <v>16</v>
      </c>
      <c r="M22">
        <v>20</v>
      </c>
      <c r="N22" s="19" t="s">
        <v>228</v>
      </c>
      <c r="O22">
        <f t="shared" si="7"/>
        <v>0</v>
      </c>
      <c r="P22" s="9">
        <f t="shared" si="8"/>
        <v>0</v>
      </c>
      <c r="Q22" s="9">
        <f t="shared" si="47"/>
        <v>0</v>
      </c>
      <c r="R22" s="9">
        <f t="shared" si="9"/>
        <v>0</v>
      </c>
      <c r="S22" s="9">
        <f t="shared" si="10"/>
        <v>0</v>
      </c>
      <c r="T22" s="9">
        <f t="shared" si="48"/>
        <v>0</v>
      </c>
      <c r="U22" s="11" t="s">
        <v>200</v>
      </c>
      <c r="V22" s="9">
        <f t="shared" si="11"/>
        <v>0</v>
      </c>
      <c r="W22" s="9">
        <f t="shared" si="12"/>
        <v>0</v>
      </c>
      <c r="X22" s="9">
        <f t="shared" si="49"/>
        <v>0</v>
      </c>
      <c r="Y22" s="9">
        <f t="shared" si="13"/>
        <v>0</v>
      </c>
      <c r="Z22" s="9">
        <f t="shared" si="14"/>
        <v>0</v>
      </c>
      <c r="AA22" s="9">
        <f t="shared" si="3"/>
        <v>0</v>
      </c>
      <c r="AB22" s="16">
        <v>-10</v>
      </c>
      <c r="AC22" s="9">
        <f t="shared" si="15"/>
        <v>-0.17453292519943295</v>
      </c>
      <c r="AD22" s="9">
        <f t="shared" si="50"/>
        <v>11.193361532410329</v>
      </c>
      <c r="AE22" s="9">
        <f t="shared" si="16"/>
        <v>-20</v>
      </c>
      <c r="AF22" s="9">
        <f t="shared" si="17"/>
        <v>-0.3490658503988659</v>
      </c>
      <c r="AG22" s="9">
        <f t="shared" si="51"/>
        <v>22.046618438772605</v>
      </c>
      <c r="AH22" s="11" t="s">
        <v>97</v>
      </c>
      <c r="AI22" s="9">
        <f t="shared" si="18"/>
        <v>0</v>
      </c>
      <c r="AJ22" s="9">
        <f t="shared" si="19"/>
        <v>0</v>
      </c>
      <c r="AK22" s="9">
        <f t="shared" si="52"/>
        <v>0</v>
      </c>
    </row>
    <row r="23" spans="1:37" x14ac:dyDescent="0.25">
      <c r="E23" t="s">
        <v>320</v>
      </c>
      <c r="F23" t="s">
        <v>320</v>
      </c>
      <c r="G23" t="s">
        <v>320</v>
      </c>
      <c r="H23" t="s">
        <v>320</v>
      </c>
      <c r="I23">
        <v>0</v>
      </c>
      <c r="J23">
        <v>94</v>
      </c>
      <c r="K23" t="s">
        <v>18</v>
      </c>
      <c r="L23" t="s">
        <v>13</v>
      </c>
      <c r="M23">
        <v>21</v>
      </c>
      <c r="N23" s="19" t="s">
        <v>228</v>
      </c>
      <c r="O23">
        <f t="shared" si="7"/>
        <v>0</v>
      </c>
      <c r="P23" s="9">
        <f t="shared" si="8"/>
        <v>0</v>
      </c>
      <c r="Q23" s="9">
        <f t="shared" si="47"/>
        <v>0</v>
      </c>
      <c r="R23" s="9">
        <f t="shared" si="9"/>
        <v>0</v>
      </c>
      <c r="S23" s="9">
        <f t="shared" si="10"/>
        <v>0</v>
      </c>
      <c r="T23" s="9">
        <f t="shared" si="48"/>
        <v>0</v>
      </c>
      <c r="U23" s="11" t="s">
        <v>201</v>
      </c>
      <c r="V23" s="9">
        <f t="shared" si="11"/>
        <v>0</v>
      </c>
      <c r="W23" s="9">
        <f t="shared" si="12"/>
        <v>0</v>
      </c>
      <c r="X23" s="9">
        <f t="shared" si="49"/>
        <v>0</v>
      </c>
      <c r="Y23" s="9">
        <f t="shared" si="13"/>
        <v>0</v>
      </c>
      <c r="Z23" s="9">
        <f t="shared" si="14"/>
        <v>0</v>
      </c>
      <c r="AA23" s="9">
        <f t="shared" si="3"/>
        <v>0</v>
      </c>
      <c r="AB23" s="16">
        <v>0</v>
      </c>
      <c r="AC23" s="9">
        <f t="shared" si="15"/>
        <v>0</v>
      </c>
      <c r="AD23" s="9">
        <f t="shared" si="50"/>
        <v>0</v>
      </c>
      <c r="AE23" s="9">
        <f t="shared" si="16"/>
        <v>-10</v>
      </c>
      <c r="AF23" s="9">
        <f t="shared" si="17"/>
        <v>-0.17453292519943295</v>
      </c>
      <c r="AG23" s="9">
        <f t="shared" si="51"/>
        <v>11.193361532410329</v>
      </c>
      <c r="AH23" s="11" t="s">
        <v>98</v>
      </c>
      <c r="AI23" s="9">
        <f t="shared" si="18"/>
        <v>10</v>
      </c>
      <c r="AJ23" s="9">
        <f t="shared" si="19"/>
        <v>0.17453292519943295</v>
      </c>
      <c r="AK23" s="9">
        <f t="shared" si="52"/>
        <v>11.193361532410329</v>
      </c>
    </row>
    <row r="24" spans="1:37" x14ac:dyDescent="0.25">
      <c r="A24" t="s">
        <v>570</v>
      </c>
      <c r="C24" t="s">
        <v>539</v>
      </c>
      <c r="F24" t="s">
        <v>320</v>
      </c>
      <c r="H24" t="s">
        <v>320</v>
      </c>
      <c r="I24">
        <v>0</v>
      </c>
      <c r="J24">
        <v>96</v>
      </c>
      <c r="K24" t="s">
        <v>18</v>
      </c>
      <c r="L24" t="s">
        <v>11</v>
      </c>
      <c r="M24">
        <v>22</v>
      </c>
      <c r="N24" s="19" t="s">
        <v>228</v>
      </c>
      <c r="O24">
        <f t="shared" si="7"/>
        <v>0</v>
      </c>
      <c r="P24" s="9">
        <f t="shared" si="8"/>
        <v>0</v>
      </c>
      <c r="Q24" s="9">
        <f t="shared" si="47"/>
        <v>0</v>
      </c>
      <c r="R24" s="9">
        <f t="shared" si="9"/>
        <v>0</v>
      </c>
      <c r="S24" s="9">
        <f t="shared" si="10"/>
        <v>0</v>
      </c>
      <c r="T24" s="9">
        <f t="shared" si="48"/>
        <v>0</v>
      </c>
      <c r="U24" s="11" t="s">
        <v>202</v>
      </c>
      <c r="V24" s="9">
        <f t="shared" si="11"/>
        <v>0</v>
      </c>
      <c r="W24" s="9">
        <f t="shared" si="12"/>
        <v>0</v>
      </c>
      <c r="X24" s="9">
        <f t="shared" si="49"/>
        <v>0</v>
      </c>
      <c r="Y24" s="9">
        <f t="shared" si="13"/>
        <v>0</v>
      </c>
      <c r="Z24" s="9">
        <f t="shared" si="14"/>
        <v>0</v>
      </c>
      <c r="AA24" s="9">
        <f t="shared" si="3"/>
        <v>0</v>
      </c>
      <c r="AB24" s="16">
        <v>0</v>
      </c>
      <c r="AC24" s="9">
        <f t="shared" si="15"/>
        <v>0</v>
      </c>
      <c r="AD24" s="9">
        <f t="shared" si="50"/>
        <v>0</v>
      </c>
      <c r="AE24" s="9">
        <f t="shared" si="16"/>
        <v>-10</v>
      </c>
      <c r="AF24" s="9">
        <f t="shared" si="17"/>
        <v>-0.17453292519943295</v>
      </c>
      <c r="AG24" s="9">
        <f t="shared" si="51"/>
        <v>11.193361532410329</v>
      </c>
      <c r="AH24" s="11" t="s">
        <v>99</v>
      </c>
      <c r="AI24" s="9">
        <f t="shared" si="18"/>
        <v>10</v>
      </c>
      <c r="AJ24" s="9">
        <f t="shared" si="19"/>
        <v>0.17453292519943295</v>
      </c>
      <c r="AK24" s="9">
        <f t="shared" si="52"/>
        <v>11.193361532410329</v>
      </c>
    </row>
    <row r="25" spans="1:37" x14ac:dyDescent="0.25">
      <c r="E25" t="s">
        <v>320</v>
      </c>
      <c r="F25" t="s">
        <v>320</v>
      </c>
      <c r="G25" t="s">
        <v>320</v>
      </c>
      <c r="H25" t="s">
        <v>320</v>
      </c>
      <c r="I25">
        <v>0</v>
      </c>
      <c r="J25">
        <v>2416</v>
      </c>
      <c r="K25" t="s">
        <v>19</v>
      </c>
      <c r="L25" t="s">
        <v>20</v>
      </c>
      <c r="M25">
        <v>23</v>
      </c>
      <c r="N25" s="19" t="s">
        <v>229</v>
      </c>
      <c r="O25">
        <f t="shared" si="7"/>
        <v>-10</v>
      </c>
      <c r="P25" s="9">
        <f t="shared" si="8"/>
        <v>-0.17453292519943295</v>
      </c>
      <c r="Q25" s="9">
        <f t="shared" si="47"/>
        <v>11.193361532410329</v>
      </c>
      <c r="R25" s="9">
        <f t="shared" si="9"/>
        <v>-20</v>
      </c>
      <c r="S25" s="9">
        <f t="shared" si="10"/>
        <v>-0.3490658503988659</v>
      </c>
      <c r="T25" s="9">
        <f t="shared" si="48"/>
        <v>22.046618438772605</v>
      </c>
      <c r="U25" s="11" t="s">
        <v>203</v>
      </c>
      <c r="V25" s="9">
        <f t="shared" si="11"/>
        <v>2</v>
      </c>
      <c r="W25" s="9">
        <f t="shared" si="12"/>
        <v>3.4906585039886591E-2</v>
      </c>
      <c r="X25" s="9">
        <f t="shared" si="49"/>
        <v>2.2496215574432123</v>
      </c>
      <c r="Y25" s="9">
        <f t="shared" si="13"/>
        <v>12</v>
      </c>
      <c r="Z25" s="9">
        <f t="shared" si="14"/>
        <v>0.20943951023931956</v>
      </c>
      <c r="AA25" s="9">
        <f t="shared" si="3"/>
        <v>13.401987590112766</v>
      </c>
      <c r="AB25" s="16">
        <v>0</v>
      </c>
      <c r="AC25" s="9">
        <f t="shared" si="15"/>
        <v>0</v>
      </c>
      <c r="AD25" s="9">
        <f t="shared" si="50"/>
        <v>0</v>
      </c>
      <c r="AE25" s="9">
        <f t="shared" si="16"/>
        <v>0</v>
      </c>
      <c r="AF25" s="9">
        <f t="shared" si="17"/>
        <v>0</v>
      </c>
      <c r="AG25" s="9">
        <f t="shared" si="51"/>
        <v>0</v>
      </c>
      <c r="AH25" s="11" t="s">
        <v>100</v>
      </c>
      <c r="AI25" s="9">
        <f t="shared" si="18"/>
        <v>0</v>
      </c>
      <c r="AJ25" s="9">
        <f t="shared" si="19"/>
        <v>0</v>
      </c>
      <c r="AK25" s="9">
        <f t="shared" si="52"/>
        <v>0</v>
      </c>
    </row>
    <row r="26" spans="1:37" x14ac:dyDescent="0.25">
      <c r="E26" t="s">
        <v>320</v>
      </c>
      <c r="F26" t="s">
        <v>320</v>
      </c>
      <c r="G26" t="s">
        <v>320</v>
      </c>
      <c r="H26" t="s">
        <v>320</v>
      </c>
      <c r="I26">
        <v>0</v>
      </c>
      <c r="J26">
        <v>2224</v>
      </c>
      <c r="K26" t="s">
        <v>19</v>
      </c>
      <c r="L26" t="s">
        <v>21</v>
      </c>
      <c r="M26">
        <v>24</v>
      </c>
      <c r="N26" s="19" t="s">
        <v>229</v>
      </c>
      <c r="O26">
        <f t="shared" si="7"/>
        <v>-10</v>
      </c>
      <c r="P26" s="9">
        <f t="shared" si="8"/>
        <v>-0.17453292519943295</v>
      </c>
      <c r="Q26" s="9">
        <f t="shared" si="47"/>
        <v>11.193361532410329</v>
      </c>
      <c r="R26" s="9">
        <f t="shared" si="9"/>
        <v>-20</v>
      </c>
      <c r="S26" s="9">
        <f t="shared" si="10"/>
        <v>-0.3490658503988659</v>
      </c>
      <c r="T26" s="9">
        <f t="shared" si="48"/>
        <v>22.046618438772605</v>
      </c>
      <c r="U26" s="11" t="s">
        <v>204</v>
      </c>
      <c r="V26" s="9">
        <f t="shared" si="11"/>
        <v>2</v>
      </c>
      <c r="W26" s="9">
        <f t="shared" si="12"/>
        <v>3.4906585039886591E-2</v>
      </c>
      <c r="X26" s="9">
        <f t="shared" si="49"/>
        <v>2.2496215574432123</v>
      </c>
      <c r="Y26" s="9">
        <f t="shared" si="13"/>
        <v>12</v>
      </c>
      <c r="Z26" s="9">
        <f t="shared" si="14"/>
        <v>0.20943951023931956</v>
      </c>
      <c r="AA26" s="9">
        <f t="shared" si="3"/>
        <v>13.401987590112766</v>
      </c>
      <c r="AB26" s="16">
        <v>0</v>
      </c>
      <c r="AC26" s="9">
        <f t="shared" si="15"/>
        <v>0</v>
      </c>
      <c r="AD26" s="9">
        <f t="shared" si="50"/>
        <v>0</v>
      </c>
      <c r="AE26" s="9">
        <f t="shared" si="16"/>
        <v>0</v>
      </c>
      <c r="AF26" s="9">
        <f t="shared" si="17"/>
        <v>0</v>
      </c>
      <c r="AG26" s="9">
        <f t="shared" si="51"/>
        <v>0</v>
      </c>
      <c r="AH26" s="11" t="s">
        <v>101</v>
      </c>
      <c r="AI26" s="9">
        <f t="shared" si="18"/>
        <v>0</v>
      </c>
      <c r="AJ26" s="9">
        <f t="shared" si="19"/>
        <v>0</v>
      </c>
      <c r="AK26" s="9">
        <f t="shared" si="52"/>
        <v>0</v>
      </c>
    </row>
    <row r="27" spans="1:37" x14ac:dyDescent="0.25">
      <c r="E27" t="s">
        <v>320</v>
      </c>
      <c r="F27" t="s">
        <v>320</v>
      </c>
      <c r="G27" t="s">
        <v>320</v>
      </c>
      <c r="H27" t="s">
        <v>320</v>
      </c>
      <c r="I27">
        <v>10</v>
      </c>
      <c r="J27">
        <v>2229</v>
      </c>
      <c r="K27" t="s">
        <v>19</v>
      </c>
      <c r="L27" t="s">
        <v>16</v>
      </c>
      <c r="M27">
        <v>25</v>
      </c>
      <c r="N27" s="19" t="s">
        <v>229</v>
      </c>
      <c r="O27">
        <f t="shared" si="7"/>
        <v>0</v>
      </c>
      <c r="P27" s="9">
        <f t="shared" si="8"/>
        <v>0</v>
      </c>
      <c r="Q27" s="9">
        <f t="shared" si="47"/>
        <v>0</v>
      </c>
      <c r="R27" s="9">
        <f t="shared" si="9"/>
        <v>-10</v>
      </c>
      <c r="S27" s="9">
        <f t="shared" si="10"/>
        <v>-0.17453292519943295</v>
      </c>
      <c r="T27" s="9">
        <f t="shared" si="48"/>
        <v>11.193361532410329</v>
      </c>
      <c r="U27" s="11" t="s">
        <v>205</v>
      </c>
      <c r="V27" s="9">
        <f t="shared" si="11"/>
        <v>12</v>
      </c>
      <c r="W27" s="9">
        <f t="shared" si="12"/>
        <v>0.20943951023931956</v>
      </c>
      <c r="X27" s="9">
        <f t="shared" si="49"/>
        <v>13.401987590112766</v>
      </c>
      <c r="Y27" s="9">
        <f t="shared" si="13"/>
        <v>22</v>
      </c>
      <c r="Z27" s="9">
        <f t="shared" si="14"/>
        <v>0.38397243543875248</v>
      </c>
      <c r="AA27" s="9">
        <f t="shared" si="3"/>
        <v>24.147141011589685</v>
      </c>
      <c r="AB27" s="16">
        <v>0</v>
      </c>
      <c r="AC27" s="9">
        <f t="shared" si="15"/>
        <v>0</v>
      </c>
      <c r="AD27" s="9">
        <f t="shared" si="50"/>
        <v>0</v>
      </c>
      <c r="AE27" s="9">
        <f t="shared" si="16"/>
        <v>0</v>
      </c>
      <c r="AF27" s="9">
        <f t="shared" si="17"/>
        <v>0</v>
      </c>
      <c r="AG27" s="9">
        <f t="shared" si="51"/>
        <v>0</v>
      </c>
      <c r="AH27" s="11" t="s">
        <v>102</v>
      </c>
      <c r="AI27" s="9">
        <f t="shared" si="18"/>
        <v>0</v>
      </c>
      <c r="AJ27" s="9">
        <f t="shared" si="19"/>
        <v>0</v>
      </c>
      <c r="AK27" s="9">
        <f t="shared" si="52"/>
        <v>0</v>
      </c>
    </row>
    <row r="28" spans="1:37" x14ac:dyDescent="0.25">
      <c r="A28" t="s">
        <v>626</v>
      </c>
      <c r="B28" t="s">
        <v>567</v>
      </c>
      <c r="C28" t="s">
        <v>597</v>
      </c>
      <c r="D28" t="s">
        <v>612</v>
      </c>
      <c r="I28">
        <v>0</v>
      </c>
      <c r="J28">
        <v>122</v>
      </c>
      <c r="K28" t="s">
        <v>22</v>
      </c>
      <c r="L28" t="s">
        <v>11</v>
      </c>
      <c r="M28">
        <v>26</v>
      </c>
      <c r="N28" s="19" t="s">
        <v>228</v>
      </c>
      <c r="O28">
        <f t="shared" si="7"/>
        <v>0</v>
      </c>
      <c r="P28" s="9">
        <f t="shared" si="8"/>
        <v>0</v>
      </c>
      <c r="Q28" s="9">
        <f t="shared" si="47"/>
        <v>0</v>
      </c>
      <c r="R28" s="9">
        <f t="shared" si="9"/>
        <v>0</v>
      </c>
      <c r="S28" s="9">
        <f t="shared" si="10"/>
        <v>0</v>
      </c>
      <c r="T28" s="9">
        <f t="shared" si="48"/>
        <v>0</v>
      </c>
      <c r="U28" s="23" t="s">
        <v>206</v>
      </c>
      <c r="V28" s="9">
        <f t="shared" si="11"/>
        <v>0</v>
      </c>
      <c r="W28" s="23">
        <f t="shared" si="12"/>
        <v>0</v>
      </c>
      <c r="X28" s="23">
        <f t="shared" si="49"/>
        <v>0</v>
      </c>
      <c r="Y28" s="9">
        <f t="shared" si="13"/>
        <v>0</v>
      </c>
      <c r="Z28" s="23">
        <f t="shared" si="14"/>
        <v>0</v>
      </c>
      <c r="AA28" s="23">
        <f t="shared" si="3"/>
        <v>0</v>
      </c>
      <c r="AB28" s="24">
        <v>13.5</v>
      </c>
      <c r="AC28" s="9">
        <f t="shared" si="15"/>
        <v>0.23561944901923448</v>
      </c>
      <c r="AD28" s="9">
        <f t="shared" si="50"/>
        <v>15.047888154151661</v>
      </c>
      <c r="AE28" s="9">
        <f t="shared" si="16"/>
        <v>3.5</v>
      </c>
      <c r="AF28" s="9">
        <f t="shared" si="17"/>
        <v>6.1086523819801536E-2</v>
      </c>
      <c r="AG28" s="9">
        <f t="shared" si="51"/>
        <v>3.9351888584168737</v>
      </c>
      <c r="AH28" s="11" t="s">
        <v>103</v>
      </c>
      <c r="AI28" s="9">
        <f t="shared" si="18"/>
        <v>23.5</v>
      </c>
      <c r="AJ28" s="9">
        <f t="shared" si="19"/>
        <v>0.41015237421866746</v>
      </c>
      <c r="AK28" s="9">
        <f t="shared" si="52"/>
        <v>25.703364982921368</v>
      </c>
    </row>
    <row r="29" spans="1:37" x14ac:dyDescent="0.25">
      <c r="E29" t="s">
        <v>320</v>
      </c>
      <c r="G29" t="s">
        <v>320</v>
      </c>
      <c r="H29" t="s">
        <v>320</v>
      </c>
      <c r="I29">
        <v>0</v>
      </c>
      <c r="J29">
        <v>124</v>
      </c>
      <c r="K29" t="s">
        <v>22</v>
      </c>
      <c r="L29" t="s">
        <v>13</v>
      </c>
      <c r="M29">
        <v>27</v>
      </c>
      <c r="N29" s="19" t="s">
        <v>228</v>
      </c>
      <c r="O29">
        <f t="shared" si="7"/>
        <v>0</v>
      </c>
      <c r="P29" s="9">
        <f t="shared" si="8"/>
        <v>0</v>
      </c>
      <c r="Q29" s="9">
        <f t="shared" si="47"/>
        <v>0</v>
      </c>
      <c r="R29" s="9">
        <f t="shared" si="9"/>
        <v>0</v>
      </c>
      <c r="S29" s="9">
        <f t="shared" si="10"/>
        <v>0</v>
      </c>
      <c r="T29" s="9">
        <f t="shared" si="48"/>
        <v>0</v>
      </c>
      <c r="U29" s="23" t="s">
        <v>207</v>
      </c>
      <c r="V29" s="9">
        <f t="shared" si="11"/>
        <v>0</v>
      </c>
      <c r="W29" s="23">
        <f t="shared" si="12"/>
        <v>0</v>
      </c>
      <c r="X29" s="23">
        <f t="shared" si="49"/>
        <v>0</v>
      </c>
      <c r="Y29" s="9">
        <f t="shared" si="13"/>
        <v>0</v>
      </c>
      <c r="Z29" s="23">
        <f t="shared" si="14"/>
        <v>0</v>
      </c>
      <c r="AA29" s="23">
        <f t="shared" si="3"/>
        <v>0</v>
      </c>
      <c r="AB29" s="24">
        <v>0</v>
      </c>
      <c r="AC29" s="9">
        <f t="shared" si="15"/>
        <v>0</v>
      </c>
      <c r="AD29" s="9">
        <f t="shared" si="50"/>
        <v>0</v>
      </c>
      <c r="AE29" s="9">
        <f t="shared" si="16"/>
        <v>-10</v>
      </c>
      <c r="AF29" s="9">
        <f t="shared" si="17"/>
        <v>-0.17453292519943295</v>
      </c>
      <c r="AG29" s="9">
        <f t="shared" si="51"/>
        <v>11.193361532410329</v>
      </c>
      <c r="AH29" s="11" t="s">
        <v>104</v>
      </c>
      <c r="AI29" s="9">
        <f t="shared" si="18"/>
        <v>10</v>
      </c>
      <c r="AJ29" s="9">
        <f t="shared" si="19"/>
        <v>0.17453292519943295</v>
      </c>
      <c r="AK29" s="9">
        <f t="shared" si="52"/>
        <v>11.193361532410329</v>
      </c>
    </row>
    <row r="30" spans="1:37" x14ac:dyDescent="0.25">
      <c r="B30" t="s">
        <v>586</v>
      </c>
      <c r="C30" t="s">
        <v>331</v>
      </c>
      <c r="D30" t="s">
        <v>566</v>
      </c>
      <c r="E30" t="s">
        <v>320</v>
      </c>
      <c r="I30">
        <v>0</v>
      </c>
      <c r="J30">
        <v>370</v>
      </c>
      <c r="K30" t="s">
        <v>23</v>
      </c>
      <c r="L30" t="s">
        <v>13</v>
      </c>
      <c r="M30">
        <v>28</v>
      </c>
      <c r="N30" s="19" t="s">
        <v>228</v>
      </c>
      <c r="O30">
        <f t="shared" si="7"/>
        <v>0</v>
      </c>
      <c r="P30" s="9">
        <f t="shared" si="8"/>
        <v>0</v>
      </c>
      <c r="Q30" s="9">
        <f t="shared" si="47"/>
        <v>0</v>
      </c>
      <c r="R30" s="9">
        <f t="shared" si="9"/>
        <v>0</v>
      </c>
      <c r="S30" s="9">
        <f t="shared" si="10"/>
        <v>0</v>
      </c>
      <c r="T30" s="9">
        <f t="shared" si="48"/>
        <v>0</v>
      </c>
      <c r="U30" s="23" t="s">
        <v>208</v>
      </c>
      <c r="V30" s="9">
        <f t="shared" si="11"/>
        <v>0</v>
      </c>
      <c r="W30" s="23">
        <f t="shared" si="12"/>
        <v>0</v>
      </c>
      <c r="X30" s="23">
        <f t="shared" si="49"/>
        <v>0</v>
      </c>
      <c r="Y30" s="9">
        <f t="shared" si="13"/>
        <v>0</v>
      </c>
      <c r="Z30" s="23">
        <f t="shared" si="14"/>
        <v>0</v>
      </c>
      <c r="AA30" s="23">
        <f t="shared" si="3"/>
        <v>0</v>
      </c>
      <c r="AB30" s="24">
        <v>-13.5</v>
      </c>
      <c r="AC30" s="9">
        <f t="shared" si="15"/>
        <v>-0.23561944901923448</v>
      </c>
      <c r="AD30" s="9">
        <f t="shared" si="50"/>
        <v>15.047888154151661</v>
      </c>
      <c r="AE30" s="9">
        <f t="shared" si="16"/>
        <v>-23.5</v>
      </c>
      <c r="AF30" s="9">
        <f t="shared" si="17"/>
        <v>-0.41015237421866746</v>
      </c>
      <c r="AG30" s="9">
        <f t="shared" si="51"/>
        <v>25.703364982921368</v>
      </c>
      <c r="AH30" s="11" t="s">
        <v>105</v>
      </c>
      <c r="AI30" s="9">
        <f t="shared" si="18"/>
        <v>-3.5</v>
      </c>
      <c r="AJ30" s="9">
        <f t="shared" si="19"/>
        <v>-6.1086523819801536E-2</v>
      </c>
      <c r="AK30" s="9">
        <f t="shared" si="52"/>
        <v>3.9351888584168737</v>
      </c>
    </row>
    <row r="31" spans="1:37" x14ac:dyDescent="0.25">
      <c r="A31" t="s">
        <v>627</v>
      </c>
      <c r="C31" t="s">
        <v>570</v>
      </c>
      <c r="H31" t="s">
        <v>320</v>
      </c>
      <c r="I31">
        <v>0</v>
      </c>
      <c r="J31">
        <v>368</v>
      </c>
      <c r="K31" t="s">
        <v>23</v>
      </c>
      <c r="L31" t="s">
        <v>11</v>
      </c>
      <c r="M31">
        <v>29</v>
      </c>
      <c r="N31" s="19" t="s">
        <v>228</v>
      </c>
      <c r="O31">
        <f t="shared" si="7"/>
        <v>0</v>
      </c>
      <c r="P31" s="9">
        <f t="shared" si="8"/>
        <v>0</v>
      </c>
      <c r="Q31" s="9">
        <f t="shared" si="47"/>
        <v>0</v>
      </c>
      <c r="R31" s="9">
        <f t="shared" si="9"/>
        <v>0</v>
      </c>
      <c r="S31" s="9">
        <f t="shared" si="10"/>
        <v>0</v>
      </c>
      <c r="T31" s="9">
        <f t="shared" si="48"/>
        <v>0</v>
      </c>
      <c r="U31" s="23" t="s">
        <v>209</v>
      </c>
      <c r="V31" s="9">
        <f t="shared" si="11"/>
        <v>0</v>
      </c>
      <c r="W31" s="23">
        <f t="shared" si="12"/>
        <v>0</v>
      </c>
      <c r="X31" s="23">
        <f t="shared" si="49"/>
        <v>0</v>
      </c>
      <c r="Y31" s="9">
        <f t="shared" si="13"/>
        <v>0</v>
      </c>
      <c r="Z31" s="23">
        <f t="shared" si="14"/>
        <v>0</v>
      </c>
      <c r="AA31" s="23">
        <f t="shared" si="3"/>
        <v>0</v>
      </c>
      <c r="AB31" s="24">
        <v>0</v>
      </c>
      <c r="AC31" s="9">
        <f t="shared" si="15"/>
        <v>0</v>
      </c>
      <c r="AD31" s="9">
        <f t="shared" si="50"/>
        <v>0</v>
      </c>
      <c r="AE31" s="9">
        <f t="shared" si="16"/>
        <v>-10</v>
      </c>
      <c r="AF31" s="9">
        <f t="shared" si="17"/>
        <v>-0.17453292519943295</v>
      </c>
      <c r="AG31" s="9">
        <f t="shared" si="51"/>
        <v>11.193361532410329</v>
      </c>
      <c r="AH31" s="11" t="s">
        <v>106</v>
      </c>
      <c r="AI31" s="9">
        <f t="shared" si="18"/>
        <v>10</v>
      </c>
      <c r="AJ31" s="9">
        <f t="shared" si="19"/>
        <v>0.17453292519943295</v>
      </c>
      <c r="AK31" s="9">
        <f t="shared" si="52"/>
        <v>11.193361532410329</v>
      </c>
    </row>
    <row r="32" spans="1:37" x14ac:dyDescent="0.25">
      <c r="A32" t="s">
        <v>571</v>
      </c>
      <c r="C32" t="s">
        <v>598</v>
      </c>
      <c r="D32" t="s">
        <v>613</v>
      </c>
      <c r="I32">
        <v>10</v>
      </c>
      <c r="J32">
        <v>1021</v>
      </c>
      <c r="K32" t="s">
        <v>29</v>
      </c>
      <c r="L32" t="s">
        <v>16</v>
      </c>
      <c r="M32">
        <v>30</v>
      </c>
      <c r="N32" s="19" t="s">
        <v>229</v>
      </c>
      <c r="O32">
        <f t="shared" si="7"/>
        <v>0</v>
      </c>
      <c r="P32" s="9">
        <f t="shared" si="8"/>
        <v>0</v>
      </c>
      <c r="Q32" s="9">
        <f t="shared" si="47"/>
        <v>0</v>
      </c>
      <c r="R32" s="9">
        <f t="shared" si="9"/>
        <v>-10</v>
      </c>
      <c r="S32" s="9">
        <f t="shared" si="10"/>
        <v>-0.17453292519943295</v>
      </c>
      <c r="T32" s="9">
        <f t="shared" si="48"/>
        <v>11.193361532410329</v>
      </c>
      <c r="U32" s="9" t="s">
        <v>210</v>
      </c>
      <c r="V32" s="9">
        <f t="shared" si="11"/>
        <v>12</v>
      </c>
      <c r="W32" s="9">
        <f t="shared" si="12"/>
        <v>0.20943951023931956</v>
      </c>
      <c r="X32" s="9">
        <f t="shared" si="49"/>
        <v>13.401987590112766</v>
      </c>
      <c r="Y32" s="9">
        <f t="shared" si="13"/>
        <v>22</v>
      </c>
      <c r="Z32" s="9">
        <f t="shared" si="14"/>
        <v>0.38397243543875248</v>
      </c>
      <c r="AA32" s="9">
        <f t="shared" si="3"/>
        <v>24.147141011589685</v>
      </c>
      <c r="AB32" s="15">
        <v>0</v>
      </c>
      <c r="AC32" s="9">
        <f t="shared" si="15"/>
        <v>0</v>
      </c>
      <c r="AD32" s="9">
        <f t="shared" si="50"/>
        <v>0</v>
      </c>
      <c r="AE32" s="9">
        <f t="shared" si="16"/>
        <v>0</v>
      </c>
      <c r="AF32" s="9">
        <f t="shared" si="17"/>
        <v>0</v>
      </c>
      <c r="AG32" s="9">
        <f t="shared" si="51"/>
        <v>0</v>
      </c>
      <c r="AH32" s="11" t="s">
        <v>107</v>
      </c>
      <c r="AI32" s="9">
        <f t="shared" si="18"/>
        <v>0</v>
      </c>
      <c r="AJ32" s="9">
        <f t="shared" si="19"/>
        <v>0</v>
      </c>
      <c r="AK32" s="9">
        <f t="shared" si="52"/>
        <v>0</v>
      </c>
    </row>
    <row r="33" spans="1:37" x14ac:dyDescent="0.25">
      <c r="E33" t="s">
        <v>320</v>
      </c>
      <c r="F33" t="s">
        <v>320</v>
      </c>
      <c r="G33" t="s">
        <v>320</v>
      </c>
      <c r="H33" t="s">
        <v>320</v>
      </c>
      <c r="I33">
        <v>-0.75</v>
      </c>
      <c r="J33">
        <v>1072</v>
      </c>
      <c r="K33" t="s">
        <v>29</v>
      </c>
      <c r="L33" t="s">
        <v>21</v>
      </c>
      <c r="M33">
        <v>31</v>
      </c>
      <c r="N33" s="19" t="s">
        <v>229</v>
      </c>
      <c r="O33">
        <f t="shared" si="7"/>
        <v>-10.75</v>
      </c>
      <c r="P33" s="9">
        <f t="shared" si="8"/>
        <v>-0.18762289458939044</v>
      </c>
      <c r="Q33" s="9">
        <f t="shared" si="47"/>
        <v>12.023339361123034</v>
      </c>
      <c r="R33" s="9">
        <f t="shared" si="9"/>
        <v>-20.75</v>
      </c>
      <c r="S33" s="9">
        <f t="shared" si="10"/>
        <v>-0.36215581978882339</v>
      </c>
      <c r="T33" s="9">
        <f t="shared" si="48"/>
        <v>22.83760030933276</v>
      </c>
      <c r="U33" s="9" t="s">
        <v>211</v>
      </c>
      <c r="V33" s="9">
        <f t="shared" si="11"/>
        <v>1.25</v>
      </c>
      <c r="W33" s="9">
        <f t="shared" si="12"/>
        <v>2.1816615649929118E-2</v>
      </c>
      <c r="X33" s="9">
        <f t="shared" si="49"/>
        <v>1.4061874893278097</v>
      </c>
      <c r="Y33" s="9">
        <f t="shared" si="13"/>
        <v>11.25</v>
      </c>
      <c r="Z33" s="9">
        <f t="shared" si="14"/>
        <v>0.19634954084936207</v>
      </c>
      <c r="AA33" s="9">
        <f t="shared" si="3"/>
        <v>12.575522157159625</v>
      </c>
      <c r="AB33" s="15">
        <v>0</v>
      </c>
      <c r="AC33" s="9">
        <f t="shared" si="15"/>
        <v>0</v>
      </c>
      <c r="AD33" s="9">
        <f t="shared" si="50"/>
        <v>0</v>
      </c>
      <c r="AE33" s="9">
        <f t="shared" si="16"/>
        <v>0</v>
      </c>
      <c r="AF33" s="9">
        <f t="shared" si="17"/>
        <v>0</v>
      </c>
      <c r="AG33" s="9">
        <f t="shared" si="51"/>
        <v>0</v>
      </c>
      <c r="AH33" s="11" t="s">
        <v>108</v>
      </c>
      <c r="AI33" s="9">
        <f t="shared" si="18"/>
        <v>0</v>
      </c>
      <c r="AJ33" s="9">
        <f t="shared" si="19"/>
        <v>0</v>
      </c>
      <c r="AK33" s="9">
        <f t="shared" si="52"/>
        <v>0</v>
      </c>
    </row>
    <row r="34" spans="1:37" x14ac:dyDescent="0.25">
      <c r="E34" t="s">
        <v>320</v>
      </c>
      <c r="F34" t="s">
        <v>320</v>
      </c>
      <c r="G34" t="s">
        <v>320</v>
      </c>
      <c r="H34" t="s">
        <v>320</v>
      </c>
      <c r="I34">
        <v>2.25</v>
      </c>
      <c r="J34">
        <v>1176</v>
      </c>
      <c r="K34" t="s">
        <v>30</v>
      </c>
      <c r="L34" t="s">
        <v>20</v>
      </c>
      <c r="M34">
        <v>32</v>
      </c>
      <c r="N34" s="19" t="s">
        <v>229</v>
      </c>
      <c r="O34">
        <f t="shared" si="7"/>
        <v>-7.75</v>
      </c>
      <c r="P34" s="9">
        <f t="shared" si="8"/>
        <v>-0.13526301702956053</v>
      </c>
      <c r="Q34" s="9">
        <f t="shared" si="47"/>
        <v>8.6924909654441826</v>
      </c>
      <c r="R34" s="9">
        <f t="shared" si="9"/>
        <v>-17.75</v>
      </c>
      <c r="S34" s="9">
        <f t="shared" si="10"/>
        <v>-0.30979594222899348</v>
      </c>
      <c r="T34" s="9">
        <f t="shared" si="48"/>
        <v>19.651552715345574</v>
      </c>
      <c r="U34" s="9" t="s">
        <v>212</v>
      </c>
      <c r="V34" s="9">
        <f t="shared" si="11"/>
        <v>4.25</v>
      </c>
      <c r="W34" s="9">
        <f t="shared" si="12"/>
        <v>7.4176493209759012E-2</v>
      </c>
      <c r="X34" s="9">
        <f t="shared" si="49"/>
        <v>4.7770332779954341</v>
      </c>
      <c r="Y34" s="9">
        <f t="shared" si="13"/>
        <v>14.25</v>
      </c>
      <c r="Z34" s="9">
        <f t="shared" si="14"/>
        <v>0.24870941840919197</v>
      </c>
      <c r="AA34" s="9">
        <f t="shared" si="3"/>
        <v>15.86704126864889</v>
      </c>
      <c r="AB34" s="15">
        <v>0</v>
      </c>
      <c r="AC34" s="9">
        <f t="shared" si="15"/>
        <v>0</v>
      </c>
      <c r="AD34" s="9">
        <f t="shared" si="50"/>
        <v>0</v>
      </c>
      <c r="AE34" s="9">
        <f t="shared" si="16"/>
        <v>0</v>
      </c>
      <c r="AF34" s="9">
        <f t="shared" si="17"/>
        <v>0</v>
      </c>
      <c r="AG34" s="9">
        <f t="shared" si="51"/>
        <v>0</v>
      </c>
      <c r="AH34" s="11" t="s">
        <v>109</v>
      </c>
      <c r="AI34" s="9">
        <f t="shared" si="18"/>
        <v>0</v>
      </c>
      <c r="AJ34" s="9">
        <f t="shared" si="19"/>
        <v>0</v>
      </c>
      <c r="AK34" s="9">
        <f t="shared" si="52"/>
        <v>0</v>
      </c>
    </row>
    <row r="35" spans="1:37" x14ac:dyDescent="0.25">
      <c r="A35" t="s">
        <v>629</v>
      </c>
      <c r="B35" t="s">
        <v>646</v>
      </c>
      <c r="C35" t="s">
        <v>599</v>
      </c>
      <c r="D35" t="s">
        <v>614</v>
      </c>
      <c r="I35">
        <v>8.5</v>
      </c>
      <c r="J35">
        <v>1175</v>
      </c>
      <c r="K35" t="s">
        <v>30</v>
      </c>
      <c r="L35" t="s">
        <v>16</v>
      </c>
      <c r="M35">
        <v>33</v>
      </c>
      <c r="N35" s="19" t="s">
        <v>229</v>
      </c>
      <c r="O35">
        <f t="shared" si="7"/>
        <v>-1.5</v>
      </c>
      <c r="P35" s="9">
        <f t="shared" si="8"/>
        <v>-2.6179938779914945E-2</v>
      </c>
      <c r="Q35" s="9">
        <f t="shared" si="47"/>
        <v>1.6873660879255032</v>
      </c>
      <c r="R35" s="9">
        <f t="shared" si="9"/>
        <v>-11.5</v>
      </c>
      <c r="S35" s="9">
        <f t="shared" si="10"/>
        <v>-0.2007128639793479</v>
      </c>
      <c r="T35" s="9">
        <f t="shared" si="48"/>
        <v>12.85125705253253</v>
      </c>
      <c r="U35" s="9" t="s">
        <v>213</v>
      </c>
      <c r="V35" s="9">
        <f t="shared" si="11"/>
        <v>10.5</v>
      </c>
      <c r="W35" s="9">
        <f t="shared" si="12"/>
        <v>0.18325957145940461</v>
      </c>
      <c r="X35" s="9">
        <f t="shared" si="49"/>
        <v>11.746901973223824</v>
      </c>
      <c r="Y35" s="9">
        <f t="shared" si="13"/>
        <v>20.5</v>
      </c>
      <c r="Z35" s="9">
        <f t="shared" si="14"/>
        <v>0.35779249665883756</v>
      </c>
      <c r="AA35" s="9">
        <f t="shared" si="3"/>
        <v>22.574367795985268</v>
      </c>
      <c r="AB35" s="16">
        <v>0</v>
      </c>
      <c r="AC35" s="9">
        <f t="shared" si="15"/>
        <v>0</v>
      </c>
      <c r="AD35" s="9">
        <f t="shared" si="50"/>
        <v>0</v>
      </c>
      <c r="AE35" s="9">
        <f t="shared" si="16"/>
        <v>0</v>
      </c>
      <c r="AF35" s="9">
        <f t="shared" si="17"/>
        <v>0</v>
      </c>
      <c r="AG35" s="9">
        <f t="shared" si="51"/>
        <v>0</v>
      </c>
      <c r="AH35" s="11" t="s">
        <v>110</v>
      </c>
      <c r="AI35" s="9">
        <f t="shared" si="18"/>
        <v>0</v>
      </c>
      <c r="AJ35" s="9">
        <f t="shared" si="19"/>
        <v>0</v>
      </c>
      <c r="AK35" s="9">
        <f t="shared" si="52"/>
        <v>0</v>
      </c>
    </row>
    <row r="36" spans="1:37" x14ac:dyDescent="0.25">
      <c r="E36" t="s">
        <v>320</v>
      </c>
      <c r="F36" t="s">
        <v>320</v>
      </c>
      <c r="G36" t="s">
        <v>320</v>
      </c>
      <c r="H36" t="s">
        <v>320</v>
      </c>
      <c r="I36">
        <v>3.5</v>
      </c>
      <c r="J36">
        <v>1174</v>
      </c>
      <c r="K36" t="s">
        <v>30</v>
      </c>
      <c r="L36" t="s">
        <v>21</v>
      </c>
      <c r="M36">
        <v>34</v>
      </c>
      <c r="N36" s="19" t="s">
        <v>229</v>
      </c>
      <c r="O36">
        <f t="shared" si="7"/>
        <v>-6.5</v>
      </c>
      <c r="P36" s="9">
        <f t="shared" si="8"/>
        <v>-0.11344640137963143</v>
      </c>
      <c r="Q36" s="9">
        <f t="shared" si="47"/>
        <v>7.2970791594792663</v>
      </c>
      <c r="R36" s="9">
        <f t="shared" si="9"/>
        <v>-16.5</v>
      </c>
      <c r="S36" s="9">
        <f t="shared" si="10"/>
        <v>-0.28797932657906439</v>
      </c>
      <c r="T36" s="9">
        <f t="shared" si="48"/>
        <v>18.307629119614852</v>
      </c>
      <c r="U36" s="9" t="s">
        <v>214</v>
      </c>
      <c r="V36" s="9">
        <f t="shared" si="11"/>
        <v>5.5</v>
      </c>
      <c r="W36" s="9">
        <f t="shared" si="12"/>
        <v>9.599310885968812E-2</v>
      </c>
      <c r="X36" s="9">
        <f t="shared" si="49"/>
        <v>6.1782172074536374</v>
      </c>
      <c r="Y36" s="9">
        <f t="shared" si="13"/>
        <v>15.5</v>
      </c>
      <c r="Z36" s="9">
        <f t="shared" si="14"/>
        <v>0.27052603405912107</v>
      </c>
      <c r="AA36" s="9">
        <f t="shared" si="3"/>
        <v>17.226185722004434</v>
      </c>
      <c r="AB36" s="16">
        <v>0</v>
      </c>
      <c r="AC36" s="9">
        <f t="shared" si="15"/>
        <v>0</v>
      </c>
      <c r="AD36" s="9">
        <f t="shared" si="50"/>
        <v>0</v>
      </c>
      <c r="AE36" s="9">
        <f t="shared" si="16"/>
        <v>0</v>
      </c>
      <c r="AF36" s="9">
        <f t="shared" si="17"/>
        <v>0</v>
      </c>
      <c r="AG36" s="9">
        <f t="shared" si="51"/>
        <v>0</v>
      </c>
      <c r="AH36" s="11" t="s">
        <v>111</v>
      </c>
      <c r="AI36" s="9">
        <f t="shared" si="18"/>
        <v>0</v>
      </c>
      <c r="AJ36" s="9">
        <f t="shared" si="19"/>
        <v>0</v>
      </c>
      <c r="AK36" s="9">
        <f t="shared" si="52"/>
        <v>0</v>
      </c>
    </row>
    <row r="37" spans="1:37" x14ac:dyDescent="0.25">
      <c r="E37" t="s">
        <v>320</v>
      </c>
      <c r="F37" t="s">
        <v>320</v>
      </c>
      <c r="G37" t="s">
        <v>320</v>
      </c>
      <c r="H37" t="s">
        <v>320</v>
      </c>
      <c r="I37">
        <v>6.5</v>
      </c>
      <c r="J37">
        <v>1230</v>
      </c>
      <c r="K37" t="s">
        <v>31</v>
      </c>
      <c r="L37" t="s">
        <v>20</v>
      </c>
      <c r="M37">
        <v>35</v>
      </c>
      <c r="N37" s="19" t="s">
        <v>229</v>
      </c>
      <c r="O37">
        <f t="shared" si="7"/>
        <v>-3.5</v>
      </c>
      <c r="P37" s="9">
        <f t="shared" si="8"/>
        <v>-6.1086523819801536E-2</v>
      </c>
      <c r="Q37" s="9">
        <f t="shared" si="47"/>
        <v>3.9351888584168737</v>
      </c>
      <c r="R37" s="9">
        <f t="shared" si="9"/>
        <v>-13.5</v>
      </c>
      <c r="S37" s="9">
        <f t="shared" si="10"/>
        <v>-0.23561944901923448</v>
      </c>
      <c r="T37" s="9">
        <f t="shared" si="48"/>
        <v>15.047888154151661</v>
      </c>
      <c r="U37" s="9" t="s">
        <v>215</v>
      </c>
      <c r="V37" s="9">
        <f t="shared" si="11"/>
        <v>8.5</v>
      </c>
      <c r="W37" s="9">
        <f t="shared" si="12"/>
        <v>0.14835298641951802</v>
      </c>
      <c r="X37" s="9">
        <f t="shared" si="49"/>
        <v>9.527794641414701</v>
      </c>
      <c r="Y37" s="9">
        <f t="shared" si="13"/>
        <v>18.5</v>
      </c>
      <c r="Z37" s="9">
        <f t="shared" si="14"/>
        <v>0.32288591161895097</v>
      </c>
      <c r="AA37" s="9">
        <f t="shared" si="3"/>
        <v>20.453458151872237</v>
      </c>
      <c r="AB37" s="16">
        <v>0</v>
      </c>
      <c r="AC37" s="9">
        <f t="shared" si="15"/>
        <v>0</v>
      </c>
      <c r="AD37" s="9">
        <f t="shared" si="50"/>
        <v>0</v>
      </c>
      <c r="AE37" s="9">
        <f t="shared" si="16"/>
        <v>0</v>
      </c>
      <c r="AF37" s="9">
        <f t="shared" si="17"/>
        <v>0</v>
      </c>
      <c r="AG37" s="9">
        <f t="shared" si="51"/>
        <v>0</v>
      </c>
      <c r="AH37" s="11" t="s">
        <v>112</v>
      </c>
      <c r="AI37" s="9">
        <f t="shared" si="18"/>
        <v>0</v>
      </c>
      <c r="AJ37" s="9">
        <f t="shared" si="19"/>
        <v>0</v>
      </c>
      <c r="AK37" s="9">
        <f t="shared" si="52"/>
        <v>0</v>
      </c>
    </row>
    <row r="38" spans="1:37" x14ac:dyDescent="0.25">
      <c r="A38" t="s">
        <v>631</v>
      </c>
      <c r="B38" t="s">
        <v>648</v>
      </c>
      <c r="C38" t="s">
        <v>600</v>
      </c>
      <c r="D38" t="s">
        <v>615</v>
      </c>
      <c r="I38">
        <v>16.5</v>
      </c>
      <c r="J38">
        <v>1229</v>
      </c>
      <c r="K38" t="s">
        <v>31</v>
      </c>
      <c r="L38" t="s">
        <v>16</v>
      </c>
      <c r="M38">
        <v>36</v>
      </c>
      <c r="N38" s="19" t="s">
        <v>229</v>
      </c>
      <c r="O38">
        <f t="shared" si="7"/>
        <v>6.5</v>
      </c>
      <c r="P38" s="9">
        <f t="shared" si="8"/>
        <v>0.11344640137963143</v>
      </c>
      <c r="Q38" s="9">
        <f t="shared" si="47"/>
        <v>7.2970791594792663</v>
      </c>
      <c r="R38" s="9">
        <f t="shared" si="9"/>
        <v>-3.5</v>
      </c>
      <c r="S38" s="9">
        <f t="shared" si="10"/>
        <v>-6.1086523819801536E-2</v>
      </c>
      <c r="T38" s="9">
        <f t="shared" si="48"/>
        <v>3.9351888584168737</v>
      </c>
      <c r="U38" s="9" t="s">
        <v>216</v>
      </c>
      <c r="V38" s="9">
        <f t="shared" si="11"/>
        <v>18.5</v>
      </c>
      <c r="W38" s="9">
        <f t="shared" si="12"/>
        <v>0.32288591161895097</v>
      </c>
      <c r="X38" s="9">
        <f t="shared" si="49"/>
        <v>20.453458151872237</v>
      </c>
      <c r="Y38" s="9">
        <f t="shared" si="13"/>
        <v>28.5</v>
      </c>
      <c r="Z38" s="9">
        <f t="shared" si="14"/>
        <v>0.49741883681838395</v>
      </c>
      <c r="AA38" s="9">
        <f t="shared" si="3"/>
        <v>30.757653686334354</v>
      </c>
      <c r="AB38" s="16">
        <v>0</v>
      </c>
      <c r="AC38" s="9">
        <f t="shared" si="15"/>
        <v>0</v>
      </c>
      <c r="AD38" s="9">
        <f t="shared" si="50"/>
        <v>0</v>
      </c>
      <c r="AE38" s="9">
        <f t="shared" si="16"/>
        <v>0</v>
      </c>
      <c r="AF38" s="9">
        <f t="shared" si="17"/>
        <v>0</v>
      </c>
      <c r="AG38" s="9">
        <f t="shared" si="51"/>
        <v>0</v>
      </c>
      <c r="AH38" s="11" t="s">
        <v>113</v>
      </c>
      <c r="AI38" s="9">
        <f t="shared" si="18"/>
        <v>0</v>
      </c>
      <c r="AJ38" s="9">
        <f t="shared" si="19"/>
        <v>0</v>
      </c>
      <c r="AK38" s="9">
        <f t="shared" si="52"/>
        <v>0</v>
      </c>
    </row>
    <row r="39" spans="1:37" x14ac:dyDescent="0.25">
      <c r="C39" t="s">
        <v>601</v>
      </c>
      <c r="D39" t="s">
        <v>616</v>
      </c>
      <c r="E39" t="s">
        <v>320</v>
      </c>
      <c r="F39" t="s">
        <v>320</v>
      </c>
      <c r="I39">
        <v>6.5</v>
      </c>
      <c r="J39">
        <v>1228</v>
      </c>
      <c r="K39" t="s">
        <v>31</v>
      </c>
      <c r="L39" t="s">
        <v>21</v>
      </c>
      <c r="M39">
        <v>37</v>
      </c>
      <c r="N39" s="19" t="s">
        <v>229</v>
      </c>
      <c r="O39">
        <f t="shared" si="7"/>
        <v>-3.5</v>
      </c>
      <c r="P39" s="9">
        <f t="shared" si="8"/>
        <v>-6.1086523819801536E-2</v>
      </c>
      <c r="Q39" s="9">
        <f t="shared" si="47"/>
        <v>3.9351888584168737</v>
      </c>
      <c r="R39" s="9">
        <f t="shared" si="9"/>
        <v>-13.5</v>
      </c>
      <c r="S39" s="9">
        <f t="shared" si="10"/>
        <v>-0.23561944901923448</v>
      </c>
      <c r="T39" s="9">
        <f t="shared" si="48"/>
        <v>15.047888154151661</v>
      </c>
      <c r="U39" s="9" t="s">
        <v>217</v>
      </c>
      <c r="V39" s="9">
        <f t="shared" si="11"/>
        <v>8.5</v>
      </c>
      <c r="W39" s="9">
        <f t="shared" si="12"/>
        <v>0.14835298641951802</v>
      </c>
      <c r="X39" s="9">
        <f t="shared" si="49"/>
        <v>9.527794641414701</v>
      </c>
      <c r="Y39" s="9">
        <f t="shared" si="13"/>
        <v>18.5</v>
      </c>
      <c r="Z39" s="9">
        <f t="shared" si="14"/>
        <v>0.32288591161895097</v>
      </c>
      <c r="AA39" s="9">
        <f t="shared" si="3"/>
        <v>20.453458151872237</v>
      </c>
      <c r="AB39" s="16">
        <v>0</v>
      </c>
      <c r="AC39" s="9">
        <f t="shared" si="15"/>
        <v>0</v>
      </c>
      <c r="AD39" s="9">
        <f t="shared" si="50"/>
        <v>0</v>
      </c>
      <c r="AE39" s="9">
        <f t="shared" si="16"/>
        <v>0</v>
      </c>
      <c r="AF39" s="9">
        <f t="shared" si="17"/>
        <v>0</v>
      </c>
      <c r="AG39" s="9">
        <f t="shared" si="51"/>
        <v>0</v>
      </c>
      <c r="AH39" s="11" t="s">
        <v>114</v>
      </c>
      <c r="AI39" s="9">
        <f t="shared" si="18"/>
        <v>0</v>
      </c>
      <c r="AJ39" s="9">
        <f t="shared" si="19"/>
        <v>0</v>
      </c>
      <c r="AK39" s="9">
        <f t="shared" si="52"/>
        <v>0</v>
      </c>
    </row>
    <row r="40" spans="1:37" x14ac:dyDescent="0.25">
      <c r="A40" t="s">
        <v>633</v>
      </c>
      <c r="C40" t="s">
        <v>589</v>
      </c>
      <c r="F40" t="s">
        <v>320</v>
      </c>
      <c r="H40" t="s">
        <v>320</v>
      </c>
      <c r="I40">
        <v>0</v>
      </c>
      <c r="J40">
        <v>331</v>
      </c>
      <c r="K40" t="s">
        <v>32</v>
      </c>
      <c r="L40" t="s">
        <v>11</v>
      </c>
      <c r="M40">
        <v>38</v>
      </c>
      <c r="N40" s="19" t="s">
        <v>228</v>
      </c>
      <c r="O40">
        <f t="shared" si="7"/>
        <v>0</v>
      </c>
      <c r="P40" s="9">
        <f t="shared" si="8"/>
        <v>0</v>
      </c>
      <c r="Q40" s="9">
        <f t="shared" si="47"/>
        <v>0</v>
      </c>
      <c r="R40" s="9">
        <f t="shared" si="9"/>
        <v>0</v>
      </c>
      <c r="S40" s="9">
        <f t="shared" si="10"/>
        <v>0</v>
      </c>
      <c r="T40" s="9">
        <f t="shared" si="48"/>
        <v>0</v>
      </c>
      <c r="U40" s="9" t="s">
        <v>218</v>
      </c>
      <c r="V40" s="9">
        <f t="shared" si="11"/>
        <v>0</v>
      </c>
      <c r="W40" s="9">
        <f t="shared" si="12"/>
        <v>0</v>
      </c>
      <c r="X40" s="9">
        <f t="shared" si="49"/>
        <v>0</v>
      </c>
      <c r="Y40" s="9">
        <f t="shared" si="13"/>
        <v>0</v>
      </c>
      <c r="Z40" s="9">
        <f t="shared" si="14"/>
        <v>0</v>
      </c>
      <c r="AA40" s="9">
        <f t="shared" si="3"/>
        <v>0</v>
      </c>
      <c r="AB40" s="16">
        <v>0</v>
      </c>
      <c r="AC40" s="9">
        <f t="shared" si="15"/>
        <v>0</v>
      </c>
      <c r="AD40" s="9">
        <f t="shared" si="50"/>
        <v>0</v>
      </c>
      <c r="AE40" s="9">
        <f t="shared" si="16"/>
        <v>-10</v>
      </c>
      <c r="AF40" s="9">
        <f t="shared" si="17"/>
        <v>-0.17453292519943295</v>
      </c>
      <c r="AG40" s="9">
        <f t="shared" si="51"/>
        <v>11.193361532410329</v>
      </c>
      <c r="AH40" s="11" t="s">
        <v>115</v>
      </c>
      <c r="AI40" s="9">
        <f t="shared" si="18"/>
        <v>10</v>
      </c>
      <c r="AJ40" s="9">
        <f t="shared" si="19"/>
        <v>0.17453292519943295</v>
      </c>
      <c r="AK40" s="9">
        <f t="shared" si="52"/>
        <v>11.193361532410329</v>
      </c>
    </row>
    <row r="41" spans="1:37" x14ac:dyDescent="0.25">
      <c r="A41" t="s">
        <v>634</v>
      </c>
      <c r="B41" t="s">
        <v>617</v>
      </c>
      <c r="C41" t="s">
        <v>602</v>
      </c>
      <c r="D41" t="s">
        <v>617</v>
      </c>
      <c r="I41">
        <v>0</v>
      </c>
      <c r="J41">
        <v>1327</v>
      </c>
      <c r="K41" t="s">
        <v>32</v>
      </c>
      <c r="L41" t="s">
        <v>16</v>
      </c>
      <c r="M41">
        <v>39</v>
      </c>
      <c r="N41" s="19" t="s">
        <v>228</v>
      </c>
      <c r="O41">
        <f t="shared" si="7"/>
        <v>0</v>
      </c>
      <c r="P41" s="9">
        <f t="shared" si="8"/>
        <v>0</v>
      </c>
      <c r="Q41" s="9">
        <f t="shared" si="47"/>
        <v>0</v>
      </c>
      <c r="R41" s="9">
        <f t="shared" si="9"/>
        <v>0</v>
      </c>
      <c r="S41" s="9">
        <f t="shared" si="10"/>
        <v>0</v>
      </c>
      <c r="T41" s="9">
        <f t="shared" si="48"/>
        <v>0</v>
      </c>
      <c r="U41" s="9" t="s">
        <v>219</v>
      </c>
      <c r="V41" s="9">
        <f t="shared" si="11"/>
        <v>0</v>
      </c>
      <c r="W41" s="9">
        <f t="shared" si="12"/>
        <v>0</v>
      </c>
      <c r="X41" s="9">
        <f t="shared" si="49"/>
        <v>0</v>
      </c>
      <c r="Y41" s="9">
        <f t="shared" si="13"/>
        <v>0</v>
      </c>
      <c r="Z41" s="9">
        <f t="shared" si="14"/>
        <v>0</v>
      </c>
      <c r="AA41" s="9">
        <f t="shared" si="3"/>
        <v>0</v>
      </c>
      <c r="AB41" s="16">
        <v>4</v>
      </c>
      <c r="AC41" s="9">
        <f t="shared" si="15"/>
        <v>6.9813170079773182E-2</v>
      </c>
      <c r="AD41" s="9">
        <f t="shared" si="50"/>
        <v>4.4965022975463169</v>
      </c>
      <c r="AE41" s="9">
        <f t="shared" si="16"/>
        <v>-6</v>
      </c>
      <c r="AF41" s="9">
        <f t="shared" si="17"/>
        <v>-0.10471975511965978</v>
      </c>
      <c r="AG41" s="9">
        <f t="shared" si="51"/>
        <v>6.7379047422329421</v>
      </c>
      <c r="AH41" s="11" t="s">
        <v>80</v>
      </c>
      <c r="AI41" s="9">
        <f t="shared" si="18"/>
        <v>14</v>
      </c>
      <c r="AJ41" s="9">
        <f t="shared" si="19"/>
        <v>0.24434609527920614</v>
      </c>
      <c r="AK41" s="9">
        <f t="shared" si="52"/>
        <v>15.59428539035458</v>
      </c>
    </row>
    <row r="42" spans="1:37" x14ac:dyDescent="0.25">
      <c r="E42" t="s">
        <v>320</v>
      </c>
      <c r="F42" t="s">
        <v>320</v>
      </c>
      <c r="G42" t="s">
        <v>320</v>
      </c>
      <c r="H42" t="s">
        <v>320</v>
      </c>
      <c r="I42">
        <v>0</v>
      </c>
      <c r="J42">
        <v>335</v>
      </c>
      <c r="K42" t="s">
        <v>32</v>
      </c>
      <c r="L42" t="s">
        <v>13</v>
      </c>
      <c r="M42">
        <v>40</v>
      </c>
      <c r="N42" s="19" t="s">
        <v>228</v>
      </c>
      <c r="O42">
        <f t="shared" si="7"/>
        <v>0</v>
      </c>
      <c r="P42" s="9">
        <f t="shared" si="8"/>
        <v>0</v>
      </c>
      <c r="Q42" s="9">
        <f t="shared" si="47"/>
        <v>0</v>
      </c>
      <c r="R42" s="9">
        <f t="shared" si="9"/>
        <v>0</v>
      </c>
      <c r="S42" s="9">
        <f t="shared" si="10"/>
        <v>0</v>
      </c>
      <c r="T42" s="9">
        <f t="shared" si="48"/>
        <v>0</v>
      </c>
      <c r="U42" s="9" t="s">
        <v>220</v>
      </c>
      <c r="V42" s="9">
        <f t="shared" si="11"/>
        <v>0</v>
      </c>
      <c r="W42" s="9">
        <f t="shared" si="12"/>
        <v>0</v>
      </c>
      <c r="X42" s="9">
        <f t="shared" si="49"/>
        <v>0</v>
      </c>
      <c r="Y42" s="9">
        <f t="shared" si="13"/>
        <v>0</v>
      </c>
      <c r="Z42" s="9">
        <f t="shared" si="14"/>
        <v>0</v>
      </c>
      <c r="AA42" s="9">
        <f t="shared" si="3"/>
        <v>0</v>
      </c>
      <c r="AB42" s="16">
        <v>0</v>
      </c>
      <c r="AC42" s="9">
        <f t="shared" si="15"/>
        <v>0</v>
      </c>
      <c r="AD42" s="9">
        <f t="shared" si="50"/>
        <v>0</v>
      </c>
      <c r="AE42" s="9">
        <f t="shared" si="16"/>
        <v>-10</v>
      </c>
      <c r="AF42" s="9">
        <f t="shared" si="17"/>
        <v>-0.17453292519943295</v>
      </c>
      <c r="AG42" s="9">
        <f t="shared" si="51"/>
        <v>11.193361532410329</v>
      </c>
      <c r="AH42" s="11" t="s">
        <v>116</v>
      </c>
      <c r="AI42" s="9">
        <f t="shared" si="18"/>
        <v>10</v>
      </c>
      <c r="AJ42" s="9">
        <f t="shared" si="19"/>
        <v>0.17453292519943295</v>
      </c>
      <c r="AK42" s="9">
        <f t="shared" si="52"/>
        <v>11.193361532410329</v>
      </c>
    </row>
    <row r="43" spans="1:37" x14ac:dyDescent="0.25">
      <c r="C43" t="s">
        <v>603</v>
      </c>
      <c r="D43" t="s">
        <v>618</v>
      </c>
      <c r="E43" t="s">
        <v>320</v>
      </c>
      <c r="F43" t="s">
        <v>320</v>
      </c>
      <c r="I43">
        <v>6.5</v>
      </c>
      <c r="J43">
        <v>1324</v>
      </c>
      <c r="K43" t="s">
        <v>32</v>
      </c>
      <c r="L43" t="s">
        <v>21</v>
      </c>
      <c r="M43">
        <v>41</v>
      </c>
      <c r="N43" s="19" t="s">
        <v>229</v>
      </c>
      <c r="O43">
        <f t="shared" si="7"/>
        <v>-3.5</v>
      </c>
      <c r="P43" s="9">
        <f t="shared" si="8"/>
        <v>-6.1086523819801536E-2</v>
      </c>
      <c r="Q43" s="9">
        <f t="shared" si="47"/>
        <v>3.9351888584168737</v>
      </c>
      <c r="R43" s="9">
        <f t="shared" si="9"/>
        <v>-13.5</v>
      </c>
      <c r="S43" s="9">
        <f t="shared" si="10"/>
        <v>-0.23561944901923448</v>
      </c>
      <c r="T43" s="9">
        <f t="shared" si="48"/>
        <v>15.047888154151661</v>
      </c>
      <c r="U43" s="9" t="s">
        <v>221</v>
      </c>
      <c r="V43" s="9">
        <f t="shared" si="11"/>
        <v>8.5</v>
      </c>
      <c r="W43" s="9">
        <f t="shared" si="12"/>
        <v>0.14835298641951802</v>
      </c>
      <c r="X43" s="9">
        <f t="shared" si="49"/>
        <v>9.527794641414701</v>
      </c>
      <c r="Y43" s="9">
        <f t="shared" si="13"/>
        <v>18.5</v>
      </c>
      <c r="Z43" s="9">
        <f t="shared" si="14"/>
        <v>0.32288591161895097</v>
      </c>
      <c r="AA43" s="9">
        <f t="shared" si="3"/>
        <v>20.453458151872237</v>
      </c>
      <c r="AB43" s="16">
        <v>0</v>
      </c>
      <c r="AC43" s="9">
        <f t="shared" si="15"/>
        <v>0</v>
      </c>
      <c r="AD43" s="9">
        <f t="shared" si="50"/>
        <v>0</v>
      </c>
      <c r="AE43" s="9">
        <f t="shared" si="16"/>
        <v>0</v>
      </c>
      <c r="AF43" s="9">
        <f t="shared" si="17"/>
        <v>0</v>
      </c>
      <c r="AG43" s="9">
        <f t="shared" si="51"/>
        <v>0</v>
      </c>
      <c r="AH43" s="11" t="s">
        <v>117</v>
      </c>
      <c r="AI43" s="9">
        <f t="shared" si="18"/>
        <v>0</v>
      </c>
      <c r="AJ43" s="9">
        <f t="shared" si="19"/>
        <v>0</v>
      </c>
      <c r="AK43" s="9">
        <f t="shared" si="52"/>
        <v>0</v>
      </c>
    </row>
    <row r="44" spans="1:37" x14ac:dyDescent="0.25">
      <c r="E44" t="s">
        <v>320</v>
      </c>
      <c r="F44" t="s">
        <v>320</v>
      </c>
      <c r="G44" t="s">
        <v>320</v>
      </c>
      <c r="H44" t="s">
        <v>320</v>
      </c>
      <c r="I44">
        <v>0</v>
      </c>
      <c r="J44">
        <v>332</v>
      </c>
      <c r="K44" t="s">
        <v>33</v>
      </c>
      <c r="L44" t="s">
        <v>13</v>
      </c>
      <c r="M44">
        <v>42</v>
      </c>
      <c r="N44" s="19" t="s">
        <v>228</v>
      </c>
      <c r="O44">
        <f t="shared" si="7"/>
        <v>0</v>
      </c>
      <c r="P44" s="9">
        <f t="shared" si="8"/>
        <v>0</v>
      </c>
      <c r="Q44" s="9">
        <f t="shared" si="47"/>
        <v>0</v>
      </c>
      <c r="R44" s="9">
        <f t="shared" si="9"/>
        <v>0</v>
      </c>
      <c r="S44" s="9">
        <f t="shared" si="10"/>
        <v>0</v>
      </c>
      <c r="T44" s="9">
        <f t="shared" si="48"/>
        <v>0</v>
      </c>
      <c r="U44" s="9" t="s">
        <v>222</v>
      </c>
      <c r="V44" s="9">
        <f t="shared" si="11"/>
        <v>0</v>
      </c>
      <c r="W44" s="9">
        <f t="shared" si="12"/>
        <v>0</v>
      </c>
      <c r="X44" s="9">
        <f t="shared" si="49"/>
        <v>0</v>
      </c>
      <c r="Y44" s="9">
        <f t="shared" si="13"/>
        <v>0</v>
      </c>
      <c r="Z44" s="9">
        <f t="shared" si="14"/>
        <v>0</v>
      </c>
      <c r="AA44" s="9">
        <f t="shared" si="3"/>
        <v>0</v>
      </c>
      <c r="AB44" s="16">
        <v>0</v>
      </c>
      <c r="AC44" s="9">
        <f t="shared" si="15"/>
        <v>0</v>
      </c>
      <c r="AD44" s="9">
        <f t="shared" si="50"/>
        <v>0</v>
      </c>
      <c r="AE44" s="9">
        <f t="shared" si="16"/>
        <v>-10</v>
      </c>
      <c r="AF44" s="9">
        <f t="shared" si="17"/>
        <v>-0.17453292519943295</v>
      </c>
      <c r="AG44" s="9">
        <f t="shared" si="51"/>
        <v>11.193361532410329</v>
      </c>
      <c r="AH44" s="11" t="s">
        <v>118</v>
      </c>
      <c r="AI44" s="9">
        <f t="shared" si="18"/>
        <v>10</v>
      </c>
      <c r="AJ44" s="9">
        <f t="shared" si="19"/>
        <v>0.17453292519943295</v>
      </c>
      <c r="AK44" s="9">
        <f t="shared" si="52"/>
        <v>11.193361532410329</v>
      </c>
    </row>
    <row r="45" spans="1:37" x14ac:dyDescent="0.25">
      <c r="B45" t="s">
        <v>587</v>
      </c>
      <c r="D45" t="s">
        <v>588</v>
      </c>
      <c r="E45" t="s">
        <v>320</v>
      </c>
      <c r="G45" t="s">
        <v>320</v>
      </c>
      <c r="I45">
        <v>0</v>
      </c>
      <c r="J45">
        <v>618</v>
      </c>
      <c r="K45" t="s">
        <v>33</v>
      </c>
      <c r="L45" t="s">
        <v>16</v>
      </c>
      <c r="M45">
        <v>43</v>
      </c>
      <c r="N45" s="19" t="s">
        <v>228</v>
      </c>
      <c r="O45">
        <f t="shared" si="7"/>
        <v>0</v>
      </c>
      <c r="P45" s="9">
        <f t="shared" si="8"/>
        <v>0</v>
      </c>
      <c r="Q45" s="9">
        <f t="shared" si="47"/>
        <v>0</v>
      </c>
      <c r="R45" s="9">
        <f t="shared" si="9"/>
        <v>0</v>
      </c>
      <c r="S45" s="9">
        <f t="shared" si="10"/>
        <v>0</v>
      </c>
      <c r="T45" s="9">
        <f t="shared" si="48"/>
        <v>0</v>
      </c>
      <c r="U45" s="9" t="s">
        <v>223</v>
      </c>
      <c r="V45" s="9">
        <f t="shared" si="11"/>
        <v>0</v>
      </c>
      <c r="W45" s="9">
        <f t="shared" si="12"/>
        <v>0</v>
      </c>
      <c r="X45" s="9">
        <f t="shared" si="49"/>
        <v>0</v>
      </c>
      <c r="Y45" s="9">
        <f t="shared" si="13"/>
        <v>0</v>
      </c>
      <c r="Z45" s="9">
        <f t="shared" si="14"/>
        <v>0</v>
      </c>
      <c r="AA45" s="9">
        <f t="shared" si="3"/>
        <v>0</v>
      </c>
      <c r="AB45" s="16">
        <v>-4</v>
      </c>
      <c r="AC45" s="9">
        <f t="shared" si="15"/>
        <v>-6.9813170079773182E-2</v>
      </c>
      <c r="AD45" s="9">
        <f t="shared" si="50"/>
        <v>4.4965022975463169</v>
      </c>
      <c r="AE45" s="9">
        <f t="shared" si="16"/>
        <v>-14</v>
      </c>
      <c r="AF45" s="9">
        <f t="shared" si="17"/>
        <v>-0.24434609527920614</v>
      </c>
      <c r="AG45" s="9">
        <f t="shared" si="51"/>
        <v>15.59428539035458</v>
      </c>
      <c r="AH45" s="11" t="s">
        <v>119</v>
      </c>
      <c r="AI45" s="9">
        <f t="shared" si="18"/>
        <v>6</v>
      </c>
      <c r="AJ45" s="9">
        <f t="shared" si="19"/>
        <v>0.10471975511965978</v>
      </c>
      <c r="AK45" s="9">
        <f t="shared" si="52"/>
        <v>6.7379047422329421</v>
      </c>
    </row>
    <row r="46" spans="1:37" x14ac:dyDescent="0.25">
      <c r="E46" t="s">
        <v>320</v>
      </c>
      <c r="F46" t="s">
        <v>320</v>
      </c>
      <c r="G46" t="s">
        <v>320</v>
      </c>
      <c r="H46" t="s">
        <v>320</v>
      </c>
      <c r="I46">
        <v>0</v>
      </c>
      <c r="J46">
        <v>340</v>
      </c>
      <c r="K46" t="s">
        <v>33</v>
      </c>
      <c r="L46" t="s">
        <v>11</v>
      </c>
      <c r="M46">
        <v>44</v>
      </c>
      <c r="N46" s="19" t="s">
        <v>228</v>
      </c>
      <c r="O46">
        <f t="shared" si="7"/>
        <v>0</v>
      </c>
      <c r="P46" s="9">
        <f t="shared" si="8"/>
        <v>0</v>
      </c>
      <c r="Q46" s="9">
        <f t="shared" si="47"/>
        <v>0</v>
      </c>
      <c r="R46" s="9">
        <f t="shared" si="9"/>
        <v>0</v>
      </c>
      <c r="S46" s="9">
        <f t="shared" si="10"/>
        <v>0</v>
      </c>
      <c r="T46" s="9">
        <f t="shared" si="48"/>
        <v>0</v>
      </c>
      <c r="U46" s="9" t="s">
        <v>224</v>
      </c>
      <c r="V46" s="9">
        <f t="shared" si="11"/>
        <v>0</v>
      </c>
      <c r="W46" s="9">
        <f t="shared" si="12"/>
        <v>0</v>
      </c>
      <c r="X46" s="9">
        <f t="shared" si="49"/>
        <v>0</v>
      </c>
      <c r="Y46" s="9">
        <f t="shared" si="13"/>
        <v>0</v>
      </c>
      <c r="Z46" s="9">
        <f t="shared" si="14"/>
        <v>0</v>
      </c>
      <c r="AA46" s="9">
        <f t="shared" si="3"/>
        <v>0</v>
      </c>
      <c r="AB46" s="16">
        <v>0</v>
      </c>
      <c r="AC46" s="9">
        <f t="shared" si="15"/>
        <v>0</v>
      </c>
      <c r="AD46" s="9">
        <f t="shared" si="50"/>
        <v>0</v>
      </c>
      <c r="AE46" s="9">
        <f t="shared" si="16"/>
        <v>-10</v>
      </c>
      <c r="AF46" s="9">
        <f t="shared" si="17"/>
        <v>-0.17453292519943295</v>
      </c>
      <c r="AG46" s="9">
        <f t="shared" si="51"/>
        <v>11.193361532410329</v>
      </c>
      <c r="AH46" s="11" t="s">
        <v>120</v>
      </c>
      <c r="AI46" s="9">
        <f t="shared" si="18"/>
        <v>10</v>
      </c>
      <c r="AJ46" s="9">
        <f t="shared" si="19"/>
        <v>0.17453292519943295</v>
      </c>
      <c r="AK46" s="9">
        <f t="shared" si="52"/>
        <v>11.193361532410329</v>
      </c>
    </row>
    <row r="47" spans="1:37" x14ac:dyDescent="0.25">
      <c r="C47" t="s">
        <v>604</v>
      </c>
      <c r="D47" t="s">
        <v>619</v>
      </c>
      <c r="E47" t="s">
        <v>320</v>
      </c>
      <c r="F47" t="s">
        <v>320</v>
      </c>
      <c r="I47">
        <v>6.5</v>
      </c>
      <c r="J47">
        <v>617</v>
      </c>
      <c r="K47" t="s">
        <v>33</v>
      </c>
      <c r="L47" t="s">
        <v>21</v>
      </c>
      <c r="M47">
        <v>45</v>
      </c>
      <c r="N47" s="19" t="s">
        <v>229</v>
      </c>
      <c r="O47">
        <f t="shared" si="7"/>
        <v>-3.5</v>
      </c>
      <c r="P47" s="9">
        <f t="shared" si="8"/>
        <v>-6.1086523819801536E-2</v>
      </c>
      <c r="Q47" s="9">
        <f t="shared" si="47"/>
        <v>3.9351888584168737</v>
      </c>
      <c r="R47" s="9">
        <f t="shared" si="9"/>
        <v>-13.5</v>
      </c>
      <c r="S47" s="9">
        <f t="shared" si="10"/>
        <v>-0.23561944901923448</v>
      </c>
      <c r="T47" s="9">
        <f t="shared" si="48"/>
        <v>15.047888154151661</v>
      </c>
      <c r="U47" s="10" t="s">
        <v>225</v>
      </c>
      <c r="V47" s="9">
        <f t="shared" si="11"/>
        <v>8.5</v>
      </c>
      <c r="W47" s="9">
        <f t="shared" si="12"/>
        <v>0.14835298641951802</v>
      </c>
      <c r="X47" s="9">
        <f t="shared" si="49"/>
        <v>9.527794641414701</v>
      </c>
      <c r="Y47" s="9">
        <f t="shared" si="13"/>
        <v>18.5</v>
      </c>
      <c r="Z47" s="9">
        <f t="shared" si="14"/>
        <v>0.32288591161895097</v>
      </c>
      <c r="AA47" s="9">
        <f t="shared" si="3"/>
        <v>20.453458151872237</v>
      </c>
      <c r="AB47" s="17">
        <v>0</v>
      </c>
      <c r="AC47" s="9">
        <f t="shared" si="15"/>
        <v>0</v>
      </c>
      <c r="AD47" s="9">
        <f t="shared" si="50"/>
        <v>0</v>
      </c>
      <c r="AE47" s="9">
        <f t="shared" si="16"/>
        <v>0</v>
      </c>
      <c r="AF47" s="9">
        <f t="shared" si="17"/>
        <v>0</v>
      </c>
      <c r="AG47" s="9">
        <f t="shared" si="51"/>
        <v>0</v>
      </c>
      <c r="AH47" s="10" t="s">
        <v>121</v>
      </c>
      <c r="AI47" s="9">
        <f t="shared" si="18"/>
        <v>0</v>
      </c>
      <c r="AJ47" s="9">
        <f t="shared" si="19"/>
        <v>0</v>
      </c>
      <c r="AK47" s="9">
        <f t="shared" si="52"/>
        <v>0</v>
      </c>
    </row>
    <row r="48" spans="1:37" x14ac:dyDescent="0.25">
      <c r="A48" t="s">
        <v>636</v>
      </c>
      <c r="B48" t="s">
        <v>571</v>
      </c>
      <c r="G48" t="s">
        <v>320</v>
      </c>
      <c r="H48" t="s">
        <v>320</v>
      </c>
      <c r="I48">
        <v>0</v>
      </c>
      <c r="J48">
        <v>446</v>
      </c>
      <c r="K48" t="s">
        <v>347</v>
      </c>
      <c r="L48" t="s">
        <v>348</v>
      </c>
      <c r="M48">
        <v>46</v>
      </c>
      <c r="N48" s="19" t="s">
        <v>229</v>
      </c>
      <c r="O48">
        <f t="shared" si="7"/>
        <v>-10</v>
      </c>
      <c r="P48" s="9">
        <f t="shared" ref="P48:P59" si="53">RADIANS(O48)</f>
        <v>-0.17453292519943295</v>
      </c>
      <c r="Q48" s="9">
        <f t="shared" si="47"/>
        <v>11.193361532410329</v>
      </c>
      <c r="R48" s="9">
        <f t="shared" ref="R48:R59" si="54">IF($N48="pitch",O48-10, O48)</f>
        <v>-20</v>
      </c>
      <c r="S48" s="9">
        <f t="shared" ref="S48:S59" si="55">RADIANS(R48)</f>
        <v>-0.3490658503988659</v>
      </c>
      <c r="T48" s="9">
        <f t="shared" si="48"/>
        <v>22.046618438772605</v>
      </c>
      <c r="U48" s="9" t="s">
        <v>224</v>
      </c>
      <c r="V48" s="9">
        <f t="shared" si="11"/>
        <v>2</v>
      </c>
      <c r="W48" s="9">
        <f t="shared" ref="W48:W59" si="56">RADIANS(V48)</f>
        <v>3.4906585039886591E-2</v>
      </c>
      <c r="X48" s="9">
        <f t="shared" si="49"/>
        <v>2.2496215574432123</v>
      </c>
      <c r="Y48" s="9">
        <f t="shared" si="13"/>
        <v>12</v>
      </c>
      <c r="Z48" s="9">
        <f t="shared" si="14"/>
        <v>0.20943951023931956</v>
      </c>
      <c r="AA48" s="9">
        <f t="shared" si="3"/>
        <v>13.401987590112766</v>
      </c>
      <c r="AB48" s="16">
        <v>0</v>
      </c>
      <c r="AC48" s="9">
        <f t="shared" ref="AC48:AC59" si="57">RADIANS(AB48)</f>
        <v>0</v>
      </c>
      <c r="AD48" s="9">
        <f t="shared" ref="AD48:AD59" si="58">IF(AC48&gt;0,$K$61*SIN(AC48), $K$61*SIN(-AC48))</f>
        <v>0</v>
      </c>
      <c r="AE48" s="9">
        <f t="shared" ref="AE48:AE59" si="59">IF($N48="yaw",AB48-10, AB48)</f>
        <v>0</v>
      </c>
      <c r="AF48" s="9">
        <f t="shared" ref="AF48:AF59" si="60">RADIANS(AE48)</f>
        <v>0</v>
      </c>
      <c r="AG48" s="9">
        <f t="shared" ref="AG48:AG59" si="61">IF(AF48&gt;0,$K$61*SIN(AF48), $K$61*SIN(-AF48))</f>
        <v>0</v>
      </c>
      <c r="AH48" s="11" t="s">
        <v>120</v>
      </c>
      <c r="AI48" s="9">
        <f t="shared" ref="AI48:AI59" si="62">IF($N48="yaw",AB48+10, AB48)</f>
        <v>0</v>
      </c>
      <c r="AJ48" s="9">
        <f t="shared" ref="AJ48:AJ59" si="63">RADIANS(AI48)</f>
        <v>0</v>
      </c>
      <c r="AK48" s="9">
        <f t="shared" ref="AK48:AK59" si="64">IF(AJ48&gt;0,$K$61*SIN(AJ48), $K$61*SIN(-AJ48))</f>
        <v>0</v>
      </c>
    </row>
    <row r="49" spans="1:37" x14ac:dyDescent="0.25">
      <c r="A49" t="s">
        <v>573</v>
      </c>
      <c r="B49" t="s">
        <v>572</v>
      </c>
      <c r="G49" t="s">
        <v>320</v>
      </c>
      <c r="H49" t="s">
        <v>320</v>
      </c>
      <c r="I49">
        <v>0</v>
      </c>
      <c r="J49">
        <v>409</v>
      </c>
      <c r="K49" t="s">
        <v>347</v>
      </c>
      <c r="L49" t="s">
        <v>349</v>
      </c>
      <c r="M49">
        <v>47</v>
      </c>
      <c r="N49" s="19" t="s">
        <v>229</v>
      </c>
      <c r="O49">
        <f t="shared" si="7"/>
        <v>-10</v>
      </c>
      <c r="P49" s="9">
        <f t="shared" si="53"/>
        <v>-0.17453292519943295</v>
      </c>
      <c r="Q49" s="9">
        <f t="shared" si="47"/>
        <v>11.193361532410329</v>
      </c>
      <c r="R49" s="9">
        <f t="shared" si="54"/>
        <v>-20</v>
      </c>
      <c r="S49" s="9">
        <f t="shared" si="55"/>
        <v>-0.3490658503988659</v>
      </c>
      <c r="T49" s="9">
        <f t="shared" si="48"/>
        <v>22.046618438772605</v>
      </c>
      <c r="U49" s="10" t="s">
        <v>225</v>
      </c>
      <c r="V49" s="9">
        <f t="shared" si="11"/>
        <v>2</v>
      </c>
      <c r="W49" s="9">
        <f t="shared" si="56"/>
        <v>3.4906585039886591E-2</v>
      </c>
      <c r="X49" s="9">
        <f t="shared" si="49"/>
        <v>2.2496215574432123</v>
      </c>
      <c r="Y49" s="9">
        <f t="shared" si="13"/>
        <v>12</v>
      </c>
      <c r="Z49" s="9">
        <f t="shared" si="14"/>
        <v>0.20943951023931956</v>
      </c>
      <c r="AA49" s="9">
        <f t="shared" si="3"/>
        <v>13.401987590112766</v>
      </c>
      <c r="AB49" s="17">
        <v>0</v>
      </c>
      <c r="AC49" s="9">
        <f t="shared" si="57"/>
        <v>0</v>
      </c>
      <c r="AD49" s="9">
        <f t="shared" si="58"/>
        <v>0</v>
      </c>
      <c r="AE49" s="9">
        <f t="shared" si="59"/>
        <v>0</v>
      </c>
      <c r="AF49" s="9">
        <f t="shared" si="60"/>
        <v>0</v>
      </c>
      <c r="AG49" s="9">
        <f t="shared" si="61"/>
        <v>0</v>
      </c>
      <c r="AH49" s="10" t="s">
        <v>121</v>
      </c>
      <c r="AI49" s="9">
        <f t="shared" si="62"/>
        <v>0</v>
      </c>
      <c r="AJ49" s="9">
        <f t="shared" si="63"/>
        <v>0</v>
      </c>
      <c r="AK49" s="9">
        <f t="shared" si="64"/>
        <v>0</v>
      </c>
    </row>
    <row r="50" spans="1:37" x14ac:dyDescent="0.25">
      <c r="A50" t="s">
        <v>606</v>
      </c>
      <c r="C50" t="s">
        <v>605</v>
      </c>
      <c r="F50" t="s">
        <v>320</v>
      </c>
      <c r="H50" t="s">
        <v>320</v>
      </c>
      <c r="I50">
        <v>0</v>
      </c>
      <c r="J50">
        <v>3376</v>
      </c>
      <c r="K50" t="s">
        <v>521</v>
      </c>
      <c r="L50" t="s">
        <v>522</v>
      </c>
      <c r="M50">
        <v>48</v>
      </c>
      <c r="N50" s="20" t="s">
        <v>228</v>
      </c>
      <c r="O50">
        <f t="shared" si="7"/>
        <v>0</v>
      </c>
      <c r="P50" s="11">
        <f t="shared" si="53"/>
        <v>0</v>
      </c>
      <c r="Q50" s="11">
        <f t="shared" si="47"/>
        <v>0</v>
      </c>
      <c r="R50" s="11">
        <f t="shared" si="54"/>
        <v>0</v>
      </c>
      <c r="S50" s="11">
        <f t="shared" si="55"/>
        <v>0</v>
      </c>
      <c r="T50" s="11">
        <f t="shared" si="48"/>
        <v>0</v>
      </c>
      <c r="U50" s="9"/>
      <c r="V50" s="11">
        <f t="shared" si="11"/>
        <v>0</v>
      </c>
      <c r="W50" s="11">
        <f t="shared" si="56"/>
        <v>0</v>
      </c>
      <c r="X50" s="11">
        <f t="shared" si="49"/>
        <v>0</v>
      </c>
      <c r="Y50" s="11">
        <f t="shared" si="13"/>
        <v>0</v>
      </c>
      <c r="Z50" s="11">
        <f t="shared" si="14"/>
        <v>0</v>
      </c>
      <c r="AA50" s="11">
        <f t="shared" si="3"/>
        <v>0</v>
      </c>
      <c r="AB50" s="16">
        <v>0</v>
      </c>
      <c r="AC50" s="11">
        <f t="shared" si="57"/>
        <v>0</v>
      </c>
      <c r="AD50" s="11">
        <f t="shared" si="58"/>
        <v>0</v>
      </c>
      <c r="AE50" s="11">
        <f t="shared" si="59"/>
        <v>-10</v>
      </c>
      <c r="AF50" s="11">
        <f t="shared" si="60"/>
        <v>-0.17453292519943295</v>
      </c>
      <c r="AG50" s="11">
        <f t="shared" si="61"/>
        <v>11.193361532410329</v>
      </c>
      <c r="AH50" s="9"/>
      <c r="AI50" s="11">
        <f t="shared" si="62"/>
        <v>10</v>
      </c>
      <c r="AJ50" s="11">
        <f t="shared" si="63"/>
        <v>0.17453292519943295</v>
      </c>
      <c r="AK50" s="11">
        <f t="shared" si="64"/>
        <v>11.193361532410329</v>
      </c>
    </row>
    <row r="51" spans="1:37" x14ac:dyDescent="0.25">
      <c r="A51" t="s">
        <v>574</v>
      </c>
      <c r="C51" t="s">
        <v>606</v>
      </c>
      <c r="F51" t="s">
        <v>320</v>
      </c>
      <c r="H51" t="s">
        <v>320</v>
      </c>
      <c r="I51">
        <v>0</v>
      </c>
      <c r="J51">
        <v>3449</v>
      </c>
      <c r="K51" t="s">
        <v>521</v>
      </c>
      <c r="L51" t="s">
        <v>523</v>
      </c>
      <c r="M51">
        <v>49</v>
      </c>
      <c r="N51" s="20" t="s">
        <v>228</v>
      </c>
      <c r="O51">
        <f t="shared" si="7"/>
        <v>0</v>
      </c>
      <c r="P51" s="11">
        <f t="shared" si="53"/>
        <v>0</v>
      </c>
      <c r="Q51" s="11">
        <f t="shared" si="47"/>
        <v>0</v>
      </c>
      <c r="R51" s="11">
        <f t="shared" si="54"/>
        <v>0</v>
      </c>
      <c r="S51" s="11">
        <f t="shared" si="55"/>
        <v>0</v>
      </c>
      <c r="T51" s="11">
        <f t="shared" si="48"/>
        <v>0</v>
      </c>
      <c r="U51" s="9"/>
      <c r="V51" s="11">
        <f t="shared" si="11"/>
        <v>0</v>
      </c>
      <c r="W51" s="11">
        <f t="shared" si="56"/>
        <v>0</v>
      </c>
      <c r="X51" s="11">
        <f t="shared" si="49"/>
        <v>0</v>
      </c>
      <c r="Y51" s="11">
        <f t="shared" si="13"/>
        <v>0</v>
      </c>
      <c r="Z51" s="11">
        <f t="shared" si="14"/>
        <v>0</v>
      </c>
      <c r="AA51" s="11">
        <f t="shared" si="3"/>
        <v>0</v>
      </c>
      <c r="AB51" s="16">
        <v>0</v>
      </c>
      <c r="AC51" s="11">
        <f t="shared" si="57"/>
        <v>0</v>
      </c>
      <c r="AD51" s="11">
        <f t="shared" si="58"/>
        <v>0</v>
      </c>
      <c r="AE51" s="11">
        <f t="shared" si="59"/>
        <v>-10</v>
      </c>
      <c r="AF51" s="11">
        <f t="shared" si="60"/>
        <v>-0.17453292519943295</v>
      </c>
      <c r="AG51" s="11">
        <f t="shared" si="61"/>
        <v>11.193361532410329</v>
      </c>
      <c r="AH51" s="9"/>
      <c r="AI51" s="11">
        <f t="shared" si="62"/>
        <v>10</v>
      </c>
      <c r="AJ51" s="11">
        <f t="shared" si="63"/>
        <v>0.17453292519943295</v>
      </c>
      <c r="AK51" s="11">
        <f t="shared" si="64"/>
        <v>11.193361532410329</v>
      </c>
    </row>
    <row r="52" spans="1:37" x14ac:dyDescent="0.25">
      <c r="A52" t="s">
        <v>575</v>
      </c>
      <c r="C52" t="s">
        <v>574</v>
      </c>
      <c r="F52" t="s">
        <v>320</v>
      </c>
      <c r="H52" t="s">
        <v>320</v>
      </c>
      <c r="I52">
        <v>0</v>
      </c>
      <c r="J52">
        <v>3453</v>
      </c>
      <c r="K52" t="s">
        <v>521</v>
      </c>
      <c r="L52" t="s">
        <v>524</v>
      </c>
      <c r="M52">
        <v>50</v>
      </c>
      <c r="N52" s="20" t="s">
        <v>228</v>
      </c>
      <c r="O52">
        <f t="shared" si="7"/>
        <v>0</v>
      </c>
      <c r="P52" s="11">
        <f t="shared" si="53"/>
        <v>0</v>
      </c>
      <c r="Q52" s="11">
        <f t="shared" si="47"/>
        <v>0</v>
      </c>
      <c r="R52" s="11">
        <f t="shared" si="54"/>
        <v>0</v>
      </c>
      <c r="S52" s="11">
        <f t="shared" si="55"/>
        <v>0</v>
      </c>
      <c r="T52" s="11">
        <f t="shared" si="48"/>
        <v>0</v>
      </c>
      <c r="U52" s="9"/>
      <c r="V52" s="11">
        <f t="shared" si="11"/>
        <v>0</v>
      </c>
      <c r="W52" s="11">
        <f t="shared" si="56"/>
        <v>0</v>
      </c>
      <c r="X52" s="11">
        <f t="shared" si="49"/>
        <v>0</v>
      </c>
      <c r="Y52" s="11">
        <f t="shared" si="13"/>
        <v>0</v>
      </c>
      <c r="Z52" s="11">
        <f t="shared" si="14"/>
        <v>0</v>
      </c>
      <c r="AA52" s="11">
        <f t="shared" si="3"/>
        <v>0</v>
      </c>
      <c r="AB52" s="16">
        <v>0</v>
      </c>
      <c r="AC52" s="11">
        <f t="shared" si="57"/>
        <v>0</v>
      </c>
      <c r="AD52" s="11">
        <f t="shared" si="58"/>
        <v>0</v>
      </c>
      <c r="AE52" s="11">
        <f t="shared" si="59"/>
        <v>-10</v>
      </c>
      <c r="AF52" s="11">
        <f t="shared" si="60"/>
        <v>-0.17453292519943295</v>
      </c>
      <c r="AG52" s="11">
        <f t="shared" si="61"/>
        <v>11.193361532410329</v>
      </c>
      <c r="AH52" s="9"/>
      <c r="AI52" s="11">
        <f t="shared" si="62"/>
        <v>10</v>
      </c>
      <c r="AJ52" s="11">
        <f t="shared" si="63"/>
        <v>0.17453292519943295</v>
      </c>
      <c r="AK52" s="11">
        <f t="shared" si="64"/>
        <v>11.193361532410329</v>
      </c>
    </row>
    <row r="53" spans="1:37" x14ac:dyDescent="0.25">
      <c r="A53" t="s">
        <v>576</v>
      </c>
      <c r="C53" t="s">
        <v>575</v>
      </c>
      <c r="F53" t="s">
        <v>320</v>
      </c>
      <c r="H53" t="s">
        <v>320</v>
      </c>
      <c r="I53">
        <v>0</v>
      </c>
      <c r="J53">
        <v>3456</v>
      </c>
      <c r="K53" t="s">
        <v>521</v>
      </c>
      <c r="L53" t="s">
        <v>525</v>
      </c>
      <c r="M53">
        <v>51</v>
      </c>
      <c r="N53" s="20" t="s">
        <v>228</v>
      </c>
      <c r="O53">
        <f t="shared" si="7"/>
        <v>0</v>
      </c>
      <c r="P53" s="11">
        <f t="shared" si="53"/>
        <v>0</v>
      </c>
      <c r="Q53" s="11">
        <f t="shared" si="47"/>
        <v>0</v>
      </c>
      <c r="R53" s="11">
        <f t="shared" si="54"/>
        <v>0</v>
      </c>
      <c r="S53" s="11">
        <f t="shared" si="55"/>
        <v>0</v>
      </c>
      <c r="T53" s="11">
        <f t="shared" si="48"/>
        <v>0</v>
      </c>
      <c r="U53" s="9"/>
      <c r="V53" s="11">
        <f t="shared" si="11"/>
        <v>0</v>
      </c>
      <c r="W53" s="11">
        <f t="shared" si="56"/>
        <v>0</v>
      </c>
      <c r="X53" s="11">
        <f t="shared" si="49"/>
        <v>0</v>
      </c>
      <c r="Y53" s="11">
        <f t="shared" si="13"/>
        <v>0</v>
      </c>
      <c r="Z53" s="11">
        <f t="shared" si="14"/>
        <v>0</v>
      </c>
      <c r="AA53" s="11">
        <f t="shared" si="3"/>
        <v>0</v>
      </c>
      <c r="AB53" s="16">
        <v>0</v>
      </c>
      <c r="AC53" s="11">
        <f t="shared" si="57"/>
        <v>0</v>
      </c>
      <c r="AD53" s="11">
        <f t="shared" si="58"/>
        <v>0</v>
      </c>
      <c r="AE53" s="11">
        <f t="shared" si="59"/>
        <v>-10</v>
      </c>
      <c r="AF53" s="11">
        <f t="shared" si="60"/>
        <v>-0.17453292519943295</v>
      </c>
      <c r="AG53" s="11">
        <f t="shared" si="61"/>
        <v>11.193361532410329</v>
      </c>
      <c r="AH53" s="9"/>
      <c r="AI53" s="11">
        <f t="shared" si="62"/>
        <v>10</v>
      </c>
      <c r="AJ53" s="11">
        <f t="shared" si="63"/>
        <v>0.17453292519943295</v>
      </c>
      <c r="AK53" s="11">
        <f t="shared" si="64"/>
        <v>11.193361532410329</v>
      </c>
    </row>
    <row r="54" spans="1:37" x14ac:dyDescent="0.25">
      <c r="E54" t="s">
        <v>320</v>
      </c>
      <c r="F54" t="s">
        <v>320</v>
      </c>
      <c r="G54" t="s">
        <v>320</v>
      </c>
      <c r="H54" t="s">
        <v>320</v>
      </c>
      <c r="I54">
        <v>0</v>
      </c>
      <c r="J54">
        <v>3374</v>
      </c>
      <c r="K54" t="s">
        <v>521</v>
      </c>
      <c r="L54" t="s">
        <v>526</v>
      </c>
      <c r="M54">
        <v>52</v>
      </c>
      <c r="N54" s="20" t="s">
        <v>228</v>
      </c>
      <c r="O54">
        <f t="shared" si="7"/>
        <v>0</v>
      </c>
      <c r="P54" s="11">
        <f t="shared" si="53"/>
        <v>0</v>
      </c>
      <c r="Q54" s="11">
        <f t="shared" si="47"/>
        <v>0</v>
      </c>
      <c r="R54" s="11">
        <f t="shared" si="54"/>
        <v>0</v>
      </c>
      <c r="S54" s="11">
        <f t="shared" si="55"/>
        <v>0</v>
      </c>
      <c r="T54" s="11">
        <f t="shared" si="48"/>
        <v>0</v>
      </c>
      <c r="U54" s="9"/>
      <c r="V54" s="11">
        <f t="shared" si="11"/>
        <v>0</v>
      </c>
      <c r="W54" s="11">
        <f t="shared" si="56"/>
        <v>0</v>
      </c>
      <c r="X54" s="11">
        <f t="shared" si="49"/>
        <v>0</v>
      </c>
      <c r="Y54" s="11">
        <f t="shared" si="13"/>
        <v>0</v>
      </c>
      <c r="Z54" s="11">
        <f t="shared" si="14"/>
        <v>0</v>
      </c>
      <c r="AA54" s="11">
        <f t="shared" si="3"/>
        <v>0</v>
      </c>
      <c r="AB54" s="16">
        <v>0</v>
      </c>
      <c r="AC54" s="11">
        <f t="shared" si="57"/>
        <v>0</v>
      </c>
      <c r="AD54" s="11">
        <f t="shared" si="58"/>
        <v>0</v>
      </c>
      <c r="AE54" s="11">
        <f t="shared" si="59"/>
        <v>-10</v>
      </c>
      <c r="AF54" s="11">
        <f t="shared" si="60"/>
        <v>-0.17453292519943295</v>
      </c>
      <c r="AG54" s="11">
        <f t="shared" si="61"/>
        <v>11.193361532410329</v>
      </c>
      <c r="AH54" s="9"/>
      <c r="AI54" s="11">
        <f t="shared" si="62"/>
        <v>10</v>
      </c>
      <c r="AJ54" s="11">
        <f t="shared" si="63"/>
        <v>0.17453292519943295</v>
      </c>
      <c r="AK54" s="11">
        <f t="shared" si="64"/>
        <v>11.193361532410329</v>
      </c>
    </row>
    <row r="55" spans="1:37" x14ac:dyDescent="0.25">
      <c r="E55" t="s">
        <v>320</v>
      </c>
      <c r="F55" t="s">
        <v>320</v>
      </c>
      <c r="G55" t="s">
        <v>320</v>
      </c>
      <c r="H55" t="s">
        <v>320</v>
      </c>
      <c r="I55">
        <v>0</v>
      </c>
      <c r="J55">
        <v>3440</v>
      </c>
      <c r="K55" t="s">
        <v>521</v>
      </c>
      <c r="L55" t="s">
        <v>527</v>
      </c>
      <c r="M55">
        <v>53</v>
      </c>
      <c r="N55" s="20" t="s">
        <v>228</v>
      </c>
      <c r="O55">
        <f t="shared" si="7"/>
        <v>0</v>
      </c>
      <c r="P55" s="11">
        <f t="shared" si="53"/>
        <v>0</v>
      </c>
      <c r="Q55" s="11">
        <f t="shared" si="47"/>
        <v>0</v>
      </c>
      <c r="R55" s="11">
        <f t="shared" si="54"/>
        <v>0</v>
      </c>
      <c r="S55" s="11">
        <f t="shared" si="55"/>
        <v>0</v>
      </c>
      <c r="T55" s="11">
        <f t="shared" si="48"/>
        <v>0</v>
      </c>
      <c r="U55" s="9"/>
      <c r="V55" s="11">
        <f t="shared" si="11"/>
        <v>0</v>
      </c>
      <c r="W55" s="11">
        <f t="shared" si="56"/>
        <v>0</v>
      </c>
      <c r="X55" s="11">
        <f t="shared" si="49"/>
        <v>0</v>
      </c>
      <c r="Y55" s="11">
        <f t="shared" si="13"/>
        <v>0</v>
      </c>
      <c r="Z55" s="11">
        <f t="shared" si="14"/>
        <v>0</v>
      </c>
      <c r="AA55" s="11">
        <f t="shared" si="3"/>
        <v>0</v>
      </c>
      <c r="AB55" s="16">
        <v>0</v>
      </c>
      <c r="AC55" s="11">
        <f t="shared" si="57"/>
        <v>0</v>
      </c>
      <c r="AD55" s="11">
        <f t="shared" si="58"/>
        <v>0</v>
      </c>
      <c r="AE55" s="11">
        <f t="shared" si="59"/>
        <v>-10</v>
      </c>
      <c r="AF55" s="11">
        <f t="shared" si="60"/>
        <v>-0.17453292519943295</v>
      </c>
      <c r="AG55" s="11">
        <f t="shared" si="61"/>
        <v>11.193361532410329</v>
      </c>
      <c r="AH55" s="9"/>
      <c r="AI55" s="11">
        <f t="shared" si="62"/>
        <v>10</v>
      </c>
      <c r="AJ55" s="11">
        <f t="shared" si="63"/>
        <v>0.17453292519943295</v>
      </c>
      <c r="AK55" s="11">
        <f t="shared" si="64"/>
        <v>11.193361532410329</v>
      </c>
    </row>
    <row r="56" spans="1:37" x14ac:dyDescent="0.25">
      <c r="E56" t="s">
        <v>320</v>
      </c>
      <c r="F56" t="s">
        <v>320</v>
      </c>
      <c r="G56" t="s">
        <v>320</v>
      </c>
      <c r="H56" t="s">
        <v>320</v>
      </c>
      <c r="I56">
        <v>0</v>
      </c>
      <c r="J56">
        <v>3441</v>
      </c>
      <c r="K56" t="s">
        <v>521</v>
      </c>
      <c r="L56" t="s">
        <v>528</v>
      </c>
      <c r="M56">
        <v>54</v>
      </c>
      <c r="N56" s="20" t="s">
        <v>228</v>
      </c>
      <c r="O56">
        <f t="shared" si="7"/>
        <v>0</v>
      </c>
      <c r="P56" s="11">
        <f t="shared" si="53"/>
        <v>0</v>
      </c>
      <c r="Q56" s="11">
        <f t="shared" si="47"/>
        <v>0</v>
      </c>
      <c r="R56" s="11">
        <f t="shared" si="54"/>
        <v>0</v>
      </c>
      <c r="S56" s="11">
        <f t="shared" si="55"/>
        <v>0</v>
      </c>
      <c r="T56" s="11">
        <f t="shared" si="48"/>
        <v>0</v>
      </c>
      <c r="U56" s="9"/>
      <c r="V56" s="11">
        <f t="shared" si="11"/>
        <v>0</v>
      </c>
      <c r="W56" s="11">
        <f t="shared" si="56"/>
        <v>0</v>
      </c>
      <c r="X56" s="11">
        <f t="shared" si="49"/>
        <v>0</v>
      </c>
      <c r="Y56" s="11">
        <f t="shared" si="13"/>
        <v>0</v>
      </c>
      <c r="Z56" s="11">
        <f t="shared" si="14"/>
        <v>0</v>
      </c>
      <c r="AA56" s="11">
        <f t="shared" si="3"/>
        <v>0</v>
      </c>
      <c r="AB56" s="16">
        <v>0</v>
      </c>
      <c r="AC56" s="11">
        <f t="shared" si="57"/>
        <v>0</v>
      </c>
      <c r="AD56" s="11">
        <f t="shared" si="58"/>
        <v>0</v>
      </c>
      <c r="AE56" s="11">
        <f t="shared" si="59"/>
        <v>-10</v>
      </c>
      <c r="AF56" s="11">
        <f t="shared" si="60"/>
        <v>-0.17453292519943295</v>
      </c>
      <c r="AG56" s="11">
        <f t="shared" si="61"/>
        <v>11.193361532410329</v>
      </c>
      <c r="AH56" s="9"/>
      <c r="AI56" s="11">
        <f t="shared" si="62"/>
        <v>10</v>
      </c>
      <c r="AJ56" s="11">
        <f t="shared" si="63"/>
        <v>0.17453292519943295</v>
      </c>
      <c r="AK56" s="11">
        <f t="shared" si="64"/>
        <v>11.193361532410329</v>
      </c>
    </row>
    <row r="57" spans="1:37" x14ac:dyDescent="0.25">
      <c r="E57" t="s">
        <v>320</v>
      </c>
      <c r="F57" t="s">
        <v>320</v>
      </c>
      <c r="G57" t="s">
        <v>320</v>
      </c>
      <c r="H57" t="s">
        <v>320</v>
      </c>
      <c r="I57">
        <v>0</v>
      </c>
      <c r="J57">
        <v>3473</v>
      </c>
      <c r="K57" t="s">
        <v>521</v>
      </c>
      <c r="L57" t="s">
        <v>529</v>
      </c>
      <c r="M57">
        <v>55</v>
      </c>
      <c r="N57" s="20" t="s">
        <v>228</v>
      </c>
      <c r="O57">
        <f t="shared" si="7"/>
        <v>0</v>
      </c>
      <c r="P57" s="11">
        <f t="shared" si="53"/>
        <v>0</v>
      </c>
      <c r="Q57" s="11">
        <f t="shared" si="47"/>
        <v>0</v>
      </c>
      <c r="R57" s="11">
        <f t="shared" si="54"/>
        <v>0</v>
      </c>
      <c r="S57" s="11">
        <f t="shared" si="55"/>
        <v>0</v>
      </c>
      <c r="T57" s="11">
        <f t="shared" si="48"/>
        <v>0</v>
      </c>
      <c r="U57" s="9"/>
      <c r="V57" s="11">
        <f t="shared" si="11"/>
        <v>0</v>
      </c>
      <c r="W57" s="11">
        <f t="shared" si="56"/>
        <v>0</v>
      </c>
      <c r="X57" s="11">
        <f t="shared" si="49"/>
        <v>0</v>
      </c>
      <c r="Y57" s="11">
        <f t="shared" si="13"/>
        <v>0</v>
      </c>
      <c r="Z57" s="11">
        <f t="shared" si="14"/>
        <v>0</v>
      </c>
      <c r="AA57" s="11">
        <f t="shared" si="3"/>
        <v>0</v>
      </c>
      <c r="AB57" s="16">
        <v>0</v>
      </c>
      <c r="AC57" s="11">
        <f t="shared" si="57"/>
        <v>0</v>
      </c>
      <c r="AD57" s="11">
        <f t="shared" si="58"/>
        <v>0</v>
      </c>
      <c r="AE57" s="11">
        <f t="shared" si="59"/>
        <v>-10</v>
      </c>
      <c r="AF57" s="11">
        <f t="shared" si="60"/>
        <v>-0.17453292519943295</v>
      </c>
      <c r="AG57" s="11">
        <f t="shared" si="61"/>
        <v>11.193361532410329</v>
      </c>
      <c r="AH57" s="9"/>
      <c r="AI57" s="11">
        <f t="shared" si="62"/>
        <v>10</v>
      </c>
      <c r="AJ57" s="11">
        <f t="shared" si="63"/>
        <v>0.17453292519943295</v>
      </c>
      <c r="AK57" s="11">
        <f t="shared" si="64"/>
        <v>11.193361532410329</v>
      </c>
    </row>
    <row r="58" spans="1:37" x14ac:dyDescent="0.25">
      <c r="C58" t="s">
        <v>607</v>
      </c>
      <c r="D58" t="s">
        <v>620</v>
      </c>
      <c r="E58" t="s">
        <v>320</v>
      </c>
      <c r="F58" t="s">
        <v>320</v>
      </c>
      <c r="I58">
        <v>4</v>
      </c>
      <c r="J58">
        <v>3447</v>
      </c>
      <c r="K58" t="s">
        <v>521</v>
      </c>
      <c r="L58" t="s">
        <v>530</v>
      </c>
      <c r="M58">
        <v>56</v>
      </c>
      <c r="N58" s="20" t="s">
        <v>229</v>
      </c>
      <c r="O58">
        <f t="shared" si="7"/>
        <v>-6</v>
      </c>
      <c r="P58" s="11">
        <f t="shared" si="53"/>
        <v>-0.10471975511965978</v>
      </c>
      <c r="Q58" s="11">
        <f t="shared" si="47"/>
        <v>6.7379047422329421</v>
      </c>
      <c r="R58" s="11">
        <f t="shared" si="54"/>
        <v>-16</v>
      </c>
      <c r="S58" s="11">
        <f t="shared" si="55"/>
        <v>-0.27925268031909273</v>
      </c>
      <c r="T58" s="11">
        <f t="shared" si="48"/>
        <v>17.767583955963765</v>
      </c>
      <c r="U58" s="9"/>
      <c r="V58" s="11">
        <f t="shared" si="11"/>
        <v>6</v>
      </c>
      <c r="W58" s="11">
        <f t="shared" si="56"/>
        <v>0.10471975511965978</v>
      </c>
      <c r="X58" s="11">
        <f t="shared" si="49"/>
        <v>6.7379047422329421</v>
      </c>
      <c r="Y58" s="11">
        <f t="shared" si="13"/>
        <v>16</v>
      </c>
      <c r="Z58" s="11">
        <f t="shared" si="14"/>
        <v>0.27925268031909273</v>
      </c>
      <c r="AA58" s="11">
        <f t="shared" si="3"/>
        <v>17.767583955963765</v>
      </c>
      <c r="AB58" s="16">
        <v>0</v>
      </c>
      <c r="AC58" s="11">
        <f t="shared" si="57"/>
        <v>0</v>
      </c>
      <c r="AD58" s="11">
        <f t="shared" si="58"/>
        <v>0</v>
      </c>
      <c r="AE58" s="11">
        <f t="shared" si="59"/>
        <v>0</v>
      </c>
      <c r="AF58" s="11">
        <f t="shared" si="60"/>
        <v>0</v>
      </c>
      <c r="AG58" s="11">
        <f t="shared" si="61"/>
        <v>0</v>
      </c>
      <c r="AH58" s="9"/>
      <c r="AI58" s="11">
        <f t="shared" si="62"/>
        <v>0</v>
      </c>
      <c r="AJ58" s="11">
        <f t="shared" si="63"/>
        <v>0</v>
      </c>
      <c r="AK58" s="11">
        <f t="shared" si="64"/>
        <v>0</v>
      </c>
    </row>
    <row r="59" spans="1:37" x14ac:dyDescent="0.25">
      <c r="C59" t="s">
        <v>608</v>
      </c>
      <c r="D59" t="s">
        <v>621</v>
      </c>
      <c r="E59" t="s">
        <v>320</v>
      </c>
      <c r="F59" t="s">
        <v>320</v>
      </c>
      <c r="I59">
        <v>4</v>
      </c>
      <c r="J59">
        <v>3445</v>
      </c>
      <c r="K59" t="s">
        <v>521</v>
      </c>
      <c r="L59" t="s">
        <v>531</v>
      </c>
      <c r="M59">
        <v>57</v>
      </c>
      <c r="N59" s="20" t="s">
        <v>229</v>
      </c>
      <c r="O59">
        <f t="shared" si="7"/>
        <v>-6</v>
      </c>
      <c r="P59" s="11">
        <f t="shared" si="53"/>
        <v>-0.10471975511965978</v>
      </c>
      <c r="Q59" s="11">
        <f t="shared" si="47"/>
        <v>6.7379047422329421</v>
      </c>
      <c r="R59" s="11">
        <f t="shared" si="54"/>
        <v>-16</v>
      </c>
      <c r="S59" s="11">
        <f t="shared" si="55"/>
        <v>-0.27925268031909273</v>
      </c>
      <c r="T59" s="11">
        <f t="shared" si="48"/>
        <v>17.767583955963765</v>
      </c>
      <c r="U59" s="9"/>
      <c r="V59" s="11">
        <f t="shared" si="11"/>
        <v>6</v>
      </c>
      <c r="W59" s="11">
        <f t="shared" si="56"/>
        <v>0.10471975511965978</v>
      </c>
      <c r="X59" s="11">
        <f t="shared" si="49"/>
        <v>6.7379047422329421</v>
      </c>
      <c r="Y59" s="11">
        <f t="shared" si="13"/>
        <v>16</v>
      </c>
      <c r="Z59" s="11">
        <f t="shared" si="14"/>
        <v>0.27925268031909273</v>
      </c>
      <c r="AA59" s="11">
        <f t="shared" si="3"/>
        <v>17.767583955963765</v>
      </c>
      <c r="AB59" s="16">
        <v>0</v>
      </c>
      <c r="AC59" s="11">
        <f t="shared" si="57"/>
        <v>0</v>
      </c>
      <c r="AD59" s="11">
        <f t="shared" si="58"/>
        <v>0</v>
      </c>
      <c r="AE59" s="11">
        <f t="shared" si="59"/>
        <v>0</v>
      </c>
      <c r="AF59" s="11">
        <f t="shared" si="60"/>
        <v>0</v>
      </c>
      <c r="AG59" s="11">
        <f t="shared" si="61"/>
        <v>0</v>
      </c>
      <c r="AH59" s="9"/>
      <c r="AI59" s="11">
        <f t="shared" si="62"/>
        <v>0</v>
      </c>
      <c r="AJ59" s="11">
        <f t="shared" si="63"/>
        <v>0</v>
      </c>
      <c r="AK59" s="11">
        <f t="shared" si="64"/>
        <v>0</v>
      </c>
    </row>
    <row r="60" spans="1:37" x14ac:dyDescent="0.25">
      <c r="U60" s="11"/>
    </row>
    <row r="61" spans="1:37" x14ac:dyDescent="0.25">
      <c r="J61" t="s">
        <v>7</v>
      </c>
      <c r="K61">
        <v>64.459999999999994</v>
      </c>
    </row>
    <row r="63" spans="1:37" x14ac:dyDescent="0.25">
      <c r="A63" t="s">
        <v>423</v>
      </c>
      <c r="B63" t="s">
        <v>423</v>
      </c>
      <c r="C63" t="s">
        <v>423</v>
      </c>
      <c r="D63" t="s">
        <v>423</v>
      </c>
    </row>
    <row r="64" spans="1:37" x14ac:dyDescent="0.25">
      <c r="A64" t="s">
        <v>424</v>
      </c>
      <c r="B64" t="s">
        <v>424</v>
      </c>
      <c r="D64" t="s">
        <v>424</v>
      </c>
    </row>
    <row r="65" spans="1:4" x14ac:dyDescent="0.25">
      <c r="A65" t="s">
        <v>430</v>
      </c>
      <c r="C65" t="s">
        <v>428</v>
      </c>
    </row>
    <row r="66" spans="1:4" x14ac:dyDescent="0.25">
      <c r="A66" t="s">
        <v>431</v>
      </c>
      <c r="B66" t="s">
        <v>425</v>
      </c>
      <c r="C66" t="s">
        <v>425</v>
      </c>
      <c r="D66" t="s">
        <v>425</v>
      </c>
    </row>
    <row r="68" spans="1:4" x14ac:dyDescent="0.25">
      <c r="A68" t="s">
        <v>432</v>
      </c>
      <c r="B68" t="s">
        <v>426</v>
      </c>
      <c r="C68" t="s">
        <v>426</v>
      </c>
      <c r="D68" t="s">
        <v>426</v>
      </c>
    </row>
    <row r="69" spans="1:4" x14ac:dyDescent="0.25">
      <c r="A69" t="s">
        <v>433</v>
      </c>
      <c r="C69" t="s">
        <v>429</v>
      </c>
    </row>
    <row r="70" spans="1:4" x14ac:dyDescent="0.25">
      <c r="A70" t="s">
        <v>434</v>
      </c>
      <c r="B70" t="s">
        <v>427</v>
      </c>
      <c r="C70" t="s">
        <v>421</v>
      </c>
      <c r="D70" t="s">
        <v>427</v>
      </c>
    </row>
    <row r="72" spans="1:4" x14ac:dyDescent="0.25">
      <c r="A72" t="s">
        <v>622</v>
      </c>
      <c r="B72" t="s">
        <v>643</v>
      </c>
    </row>
    <row r="73" spans="1:4" x14ac:dyDescent="0.25">
      <c r="A73" t="s">
        <v>623</v>
      </c>
      <c r="C73" t="s">
        <v>653</v>
      </c>
    </row>
    <row r="74" spans="1:4" x14ac:dyDescent="0.25">
      <c r="A74" t="s">
        <v>624</v>
      </c>
      <c r="B74" t="s">
        <v>644</v>
      </c>
    </row>
    <row r="75" spans="1:4" x14ac:dyDescent="0.25">
      <c r="A75" t="s">
        <v>625</v>
      </c>
      <c r="B75" t="s">
        <v>645</v>
      </c>
    </row>
    <row r="77" spans="1:4" x14ac:dyDescent="0.25">
      <c r="C77" t="s">
        <v>654</v>
      </c>
      <c r="D77" t="s">
        <v>655</v>
      </c>
    </row>
    <row r="78" spans="1:4" x14ac:dyDescent="0.25">
      <c r="A78" t="s">
        <v>656</v>
      </c>
      <c r="B78" t="s">
        <v>662</v>
      </c>
      <c r="C78" t="s">
        <v>662</v>
      </c>
      <c r="D78" t="s">
        <v>672</v>
      </c>
    </row>
    <row r="79" spans="1:4" x14ac:dyDescent="0.25">
      <c r="A79" t="s">
        <v>657</v>
      </c>
      <c r="C79" t="s">
        <v>666</v>
      </c>
    </row>
    <row r="81" spans="1:4" x14ac:dyDescent="0.25">
      <c r="B81" t="s">
        <v>663</v>
      </c>
      <c r="D81" t="s">
        <v>673</v>
      </c>
    </row>
    <row r="83" spans="1:4" x14ac:dyDescent="0.25">
      <c r="A83" t="s">
        <v>658</v>
      </c>
      <c r="C83" t="s">
        <v>667</v>
      </c>
    </row>
    <row r="87" spans="1:4" x14ac:dyDescent="0.25">
      <c r="A87" t="s">
        <v>659</v>
      </c>
      <c r="B87" t="s">
        <v>664</v>
      </c>
      <c r="C87" t="s">
        <v>668</v>
      </c>
      <c r="D87" t="s">
        <v>674</v>
      </c>
    </row>
    <row r="89" spans="1:4" x14ac:dyDescent="0.25">
      <c r="B89" t="s">
        <v>665</v>
      </c>
      <c r="C89" t="s">
        <v>669</v>
      </c>
      <c r="D89" t="s">
        <v>675</v>
      </c>
    </row>
    <row r="90" spans="1:4" x14ac:dyDescent="0.25">
      <c r="A90" t="s">
        <v>660</v>
      </c>
      <c r="C90" t="s">
        <v>670</v>
      </c>
    </row>
    <row r="91" spans="1:4" x14ac:dyDescent="0.25">
      <c r="A91" t="s">
        <v>628</v>
      </c>
      <c r="C91" t="s">
        <v>535</v>
      </c>
      <c r="D91" t="s">
        <v>540</v>
      </c>
    </row>
    <row r="94" spans="1:4" x14ac:dyDescent="0.25">
      <c r="A94" t="s">
        <v>630</v>
      </c>
      <c r="B94" t="s">
        <v>647</v>
      </c>
      <c r="C94" t="s">
        <v>536</v>
      </c>
      <c r="D94" t="s">
        <v>541</v>
      </c>
    </row>
    <row r="97" spans="1:4" x14ac:dyDescent="0.25">
      <c r="A97" t="s">
        <v>632</v>
      </c>
      <c r="B97" t="s">
        <v>649</v>
      </c>
      <c r="C97" t="s">
        <v>537</v>
      </c>
      <c r="D97" t="s">
        <v>542</v>
      </c>
    </row>
    <row r="98" spans="1:4" x14ac:dyDescent="0.25">
      <c r="C98" t="s">
        <v>538</v>
      </c>
      <c r="D98" t="s">
        <v>543</v>
      </c>
    </row>
    <row r="99" spans="1:4" x14ac:dyDescent="0.25">
      <c r="A99" t="s">
        <v>661</v>
      </c>
      <c r="C99" t="s">
        <v>671</v>
      </c>
    </row>
    <row r="100" spans="1:4" x14ac:dyDescent="0.25">
      <c r="A100" t="s">
        <v>635</v>
      </c>
      <c r="B100" t="s">
        <v>544</v>
      </c>
      <c r="C100" t="s">
        <v>549</v>
      </c>
      <c r="D100" t="s">
        <v>544</v>
      </c>
    </row>
    <row r="102" spans="1:4" x14ac:dyDescent="0.25">
      <c r="C102" t="s">
        <v>550</v>
      </c>
      <c r="D102" t="s">
        <v>545</v>
      </c>
    </row>
    <row r="104" spans="1:4" x14ac:dyDescent="0.25">
      <c r="B104" t="s">
        <v>650</v>
      </c>
      <c r="D104" t="s">
        <v>520</v>
      </c>
    </row>
    <row r="106" spans="1:4" x14ac:dyDescent="0.25">
      <c r="C106" t="s">
        <v>551</v>
      </c>
      <c r="D106" t="s">
        <v>546</v>
      </c>
    </row>
    <row r="107" spans="1:4" x14ac:dyDescent="0.25">
      <c r="A107" t="s">
        <v>637</v>
      </c>
      <c r="B107" t="s">
        <v>651</v>
      </c>
    </row>
    <row r="108" spans="1:4" x14ac:dyDescent="0.25">
      <c r="A108" t="s">
        <v>638</v>
      </c>
      <c r="B108" t="s">
        <v>652</v>
      </c>
    </row>
    <row r="109" spans="1:4" x14ac:dyDescent="0.25">
      <c r="A109" t="s">
        <v>639</v>
      </c>
      <c r="C109" t="s">
        <v>552</v>
      </c>
    </row>
    <row r="110" spans="1:4" x14ac:dyDescent="0.25">
      <c r="A110" t="s">
        <v>640</v>
      </c>
      <c r="C110" t="s">
        <v>553</v>
      </c>
    </row>
    <row r="111" spans="1:4" x14ac:dyDescent="0.25">
      <c r="A111" t="s">
        <v>641</v>
      </c>
      <c r="C111" t="s">
        <v>554</v>
      </c>
    </row>
    <row r="112" spans="1:4" x14ac:dyDescent="0.25">
      <c r="A112" t="s">
        <v>642</v>
      </c>
      <c r="C112" t="s">
        <v>555</v>
      </c>
    </row>
    <row r="117" spans="3:4" x14ac:dyDescent="0.25">
      <c r="C117" t="s">
        <v>556</v>
      </c>
      <c r="D117" t="s">
        <v>547</v>
      </c>
    </row>
    <row r="118" spans="3:4" x14ac:dyDescent="0.25">
      <c r="C118" t="s">
        <v>557</v>
      </c>
      <c r="D118" t="s">
        <v>548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autoLine="0" r:id="rId5">
            <anchor moveWithCells="1">
              <from>
                <xdr:col>1</xdr:col>
                <xdr:colOff>723900</xdr:colOff>
                <xdr:row>2</xdr:row>
                <xdr:rowOff>133350</xdr:rowOff>
              </from>
              <to>
                <xdr:col>2</xdr:col>
                <xdr:colOff>419100</xdr:colOff>
                <xdr:row>2</xdr:row>
                <xdr:rowOff>438150</xdr:rowOff>
              </to>
            </anchor>
          </controlPr>
        </control>
      </mc:Choice>
      <mc:Fallback>
        <control shapeId="5122" r:id="rId4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101"/>
  <sheetViews>
    <sheetView workbookViewId="0">
      <selection activeCell="R17" sqref="R17"/>
    </sheetView>
  </sheetViews>
  <sheetFormatPr defaultRowHeight="15" x14ac:dyDescent="0.25"/>
  <cols>
    <col min="10" max="10" width="8" customWidth="1"/>
    <col min="11" max="11" width="4" customWidth="1"/>
    <col min="12" max="15" width="7" customWidth="1"/>
  </cols>
  <sheetData>
    <row r="1" spans="1:1" x14ac:dyDescent="0.25">
      <c r="A1" t="s">
        <v>435</v>
      </c>
    </row>
    <row r="2" spans="1:1" x14ac:dyDescent="0.25">
      <c r="A2" t="s">
        <v>436</v>
      </c>
    </row>
    <row r="3" spans="1:1" x14ac:dyDescent="0.25">
      <c r="A3" t="s">
        <v>437</v>
      </c>
    </row>
    <row r="4" spans="1:1" x14ac:dyDescent="0.25">
      <c r="A4" t="s">
        <v>438</v>
      </c>
    </row>
    <row r="5" spans="1:1" x14ac:dyDescent="0.25">
      <c r="A5" t="s">
        <v>439</v>
      </c>
    </row>
    <row r="6" spans="1:1" x14ac:dyDescent="0.25">
      <c r="A6" t="s">
        <v>440</v>
      </c>
    </row>
    <row r="7" spans="1:1" x14ac:dyDescent="0.25">
      <c r="A7" t="s">
        <v>441</v>
      </c>
    </row>
    <row r="8" spans="1:1" x14ac:dyDescent="0.25">
      <c r="A8" t="s">
        <v>442</v>
      </c>
    </row>
    <row r="9" spans="1:1" x14ac:dyDescent="0.25">
      <c r="A9" t="s">
        <v>443</v>
      </c>
    </row>
    <row r="10" spans="1:1" x14ac:dyDescent="0.25">
      <c r="A10" t="s">
        <v>444</v>
      </c>
    </row>
    <row r="11" spans="1:1" x14ac:dyDescent="0.25">
      <c r="A11" t="s">
        <v>445</v>
      </c>
    </row>
    <row r="12" spans="1:1" x14ac:dyDescent="0.25">
      <c r="A12" t="s">
        <v>446</v>
      </c>
    </row>
    <row r="13" spans="1:1" x14ac:dyDescent="0.25">
      <c r="A13" t="s">
        <v>447</v>
      </c>
    </row>
    <row r="14" spans="1:1" x14ac:dyDescent="0.25">
      <c r="A14" t="s">
        <v>448</v>
      </c>
    </row>
    <row r="15" spans="1:1" x14ac:dyDescent="0.25">
      <c r="A15" t="s">
        <v>449</v>
      </c>
    </row>
    <row r="16" spans="1:1" x14ac:dyDescent="0.25">
      <c r="A16" t="s">
        <v>450</v>
      </c>
    </row>
    <row r="17" spans="1:15" x14ac:dyDescent="0.25">
      <c r="A17" t="s">
        <v>451</v>
      </c>
    </row>
    <row r="18" spans="1:15" x14ac:dyDescent="0.25">
      <c r="A18" t="s">
        <v>452</v>
      </c>
      <c r="J18">
        <v>31894</v>
      </c>
      <c r="K18">
        <v>7.3</v>
      </c>
      <c r="L18">
        <v>238031</v>
      </c>
      <c r="M18">
        <v>238608</v>
      </c>
    </row>
    <row r="19" spans="1:15" x14ac:dyDescent="0.25">
      <c r="A19" t="s">
        <v>453</v>
      </c>
      <c r="J19" t="s">
        <v>519</v>
      </c>
      <c r="K19">
        <v>1</v>
      </c>
      <c r="L19">
        <v>31895</v>
      </c>
      <c r="M19">
        <v>7.3</v>
      </c>
      <c r="N19">
        <v>238261</v>
      </c>
      <c r="O19">
        <v>238493</v>
      </c>
    </row>
    <row r="20" spans="1:15" x14ac:dyDescent="0.25">
      <c r="A20" t="s">
        <v>454</v>
      </c>
      <c r="J20" t="s">
        <v>519</v>
      </c>
      <c r="K20">
        <v>1</v>
      </c>
      <c r="L20">
        <v>31899</v>
      </c>
      <c r="M20">
        <v>7.3</v>
      </c>
      <c r="N20">
        <v>238236</v>
      </c>
      <c r="O20">
        <v>238613</v>
      </c>
    </row>
    <row r="21" spans="1:15" x14ac:dyDescent="0.25">
      <c r="A21" t="s">
        <v>455</v>
      </c>
      <c r="J21" t="s">
        <v>519</v>
      </c>
      <c r="K21">
        <v>1</v>
      </c>
      <c r="L21">
        <v>31917</v>
      </c>
      <c r="M21">
        <v>7.3</v>
      </c>
      <c r="N21">
        <v>238025</v>
      </c>
      <c r="O21">
        <v>238224</v>
      </c>
    </row>
    <row r="22" spans="1:15" x14ac:dyDescent="0.25">
      <c r="A22" t="s">
        <v>456</v>
      </c>
      <c r="J22" t="s">
        <v>519</v>
      </c>
      <c r="K22">
        <v>1</v>
      </c>
      <c r="L22">
        <v>31921</v>
      </c>
      <c r="M22">
        <v>7.3</v>
      </c>
      <c r="N22">
        <v>238244</v>
      </c>
      <c r="O22">
        <v>238503</v>
      </c>
    </row>
    <row r="23" spans="1:15" x14ac:dyDescent="0.25">
      <c r="A23" t="s">
        <v>457</v>
      </c>
      <c r="J23" t="s">
        <v>519</v>
      </c>
      <c r="K23">
        <v>1</v>
      </c>
      <c r="L23">
        <v>31949</v>
      </c>
      <c r="M23">
        <v>7.3</v>
      </c>
      <c r="N23">
        <v>238242</v>
      </c>
      <c r="O23">
        <v>238450</v>
      </c>
    </row>
    <row r="24" spans="1:15" x14ac:dyDescent="0.25">
      <c r="A24" t="s">
        <v>458</v>
      </c>
      <c r="J24" t="s">
        <v>519</v>
      </c>
      <c r="K24">
        <v>1</v>
      </c>
      <c r="L24">
        <v>31970</v>
      </c>
      <c r="M24">
        <v>7.3</v>
      </c>
      <c r="N24">
        <v>238027</v>
      </c>
      <c r="O24">
        <v>238516</v>
      </c>
    </row>
    <row r="25" spans="1:15" x14ac:dyDescent="0.25">
      <c r="A25" t="s">
        <v>459</v>
      </c>
      <c r="J25" t="s">
        <v>519</v>
      </c>
      <c r="K25">
        <v>1</v>
      </c>
      <c r="L25">
        <v>31971</v>
      </c>
      <c r="M25">
        <v>7.3</v>
      </c>
      <c r="N25">
        <v>238229</v>
      </c>
      <c r="O25">
        <v>238464</v>
      </c>
    </row>
    <row r="26" spans="1:15" x14ac:dyDescent="0.25">
      <c r="A26" t="s">
        <v>460</v>
      </c>
      <c r="J26" t="s">
        <v>519</v>
      </c>
      <c r="K26">
        <v>1</v>
      </c>
      <c r="L26">
        <v>32127</v>
      </c>
      <c r="M26">
        <v>7.3</v>
      </c>
      <c r="N26">
        <v>238261</v>
      </c>
      <c r="O26">
        <v>238493</v>
      </c>
    </row>
    <row r="27" spans="1:15" x14ac:dyDescent="0.25">
      <c r="A27" t="s">
        <v>461</v>
      </c>
      <c r="J27" t="s">
        <v>519</v>
      </c>
      <c r="K27">
        <v>1</v>
      </c>
      <c r="L27">
        <v>32130</v>
      </c>
      <c r="M27">
        <v>7.3</v>
      </c>
      <c r="N27">
        <v>238263</v>
      </c>
      <c r="O27">
        <v>238595</v>
      </c>
    </row>
    <row r="28" spans="1:15" x14ac:dyDescent="0.25">
      <c r="A28" t="s">
        <v>462</v>
      </c>
      <c r="J28" t="s">
        <v>519</v>
      </c>
      <c r="K28">
        <v>1</v>
      </c>
      <c r="L28">
        <v>32162</v>
      </c>
      <c r="M28">
        <v>7.3</v>
      </c>
      <c r="N28">
        <v>238273</v>
      </c>
      <c r="O28">
        <v>238474</v>
      </c>
    </row>
    <row r="29" spans="1:15" x14ac:dyDescent="0.25">
      <c r="A29" t="s">
        <v>463</v>
      </c>
      <c r="J29" t="s">
        <v>519</v>
      </c>
      <c r="K29">
        <v>1</v>
      </c>
      <c r="L29">
        <v>32235</v>
      </c>
      <c r="M29">
        <v>7.3</v>
      </c>
      <c r="N29">
        <v>238244</v>
      </c>
      <c r="O29">
        <v>238440</v>
      </c>
    </row>
    <row r="30" spans="1:15" x14ac:dyDescent="0.25">
      <c r="A30" t="s">
        <v>464</v>
      </c>
      <c r="J30" t="s">
        <v>519</v>
      </c>
      <c r="K30">
        <v>1</v>
      </c>
      <c r="L30">
        <v>32236</v>
      </c>
      <c r="M30">
        <v>7.3</v>
      </c>
      <c r="N30">
        <v>238245</v>
      </c>
      <c r="O30">
        <v>238492</v>
      </c>
    </row>
    <row r="31" spans="1:15" x14ac:dyDescent="0.25">
      <c r="A31" t="s">
        <v>465</v>
      </c>
      <c r="J31" t="s">
        <v>519</v>
      </c>
      <c r="K31">
        <v>1</v>
      </c>
      <c r="L31">
        <v>32284</v>
      </c>
      <c r="M31">
        <v>7.3</v>
      </c>
      <c r="N31">
        <v>238033</v>
      </c>
      <c r="O31">
        <v>238494</v>
      </c>
    </row>
    <row r="32" spans="1:15" x14ac:dyDescent="0.25">
      <c r="A32" t="s">
        <v>466</v>
      </c>
      <c r="J32" t="s">
        <v>519</v>
      </c>
      <c r="K32">
        <v>1</v>
      </c>
      <c r="L32">
        <v>32296</v>
      </c>
      <c r="M32">
        <v>7.3</v>
      </c>
      <c r="N32">
        <v>238033</v>
      </c>
      <c r="O32">
        <v>238494</v>
      </c>
    </row>
    <row r="33" spans="1:15" x14ac:dyDescent="0.25">
      <c r="A33" t="s">
        <v>467</v>
      </c>
      <c r="J33" t="s">
        <v>519</v>
      </c>
      <c r="K33">
        <v>1</v>
      </c>
      <c r="L33">
        <v>32368</v>
      </c>
      <c r="M33">
        <v>7.3</v>
      </c>
      <c r="N33">
        <v>238025</v>
      </c>
      <c r="O33">
        <v>239451</v>
      </c>
    </row>
    <row r="34" spans="1:15" x14ac:dyDescent="0.25">
      <c r="A34" t="s">
        <v>468</v>
      </c>
      <c r="J34" t="s">
        <v>519</v>
      </c>
      <c r="K34">
        <v>1</v>
      </c>
      <c r="L34">
        <v>32426</v>
      </c>
      <c r="M34">
        <v>7.3</v>
      </c>
      <c r="N34">
        <v>238039</v>
      </c>
      <c r="O34">
        <v>239444</v>
      </c>
    </row>
    <row r="35" spans="1:15" x14ac:dyDescent="0.25">
      <c r="A35" t="s">
        <v>469</v>
      </c>
      <c r="J35" t="s">
        <v>519</v>
      </c>
      <c r="K35">
        <v>1</v>
      </c>
      <c r="L35">
        <v>32430</v>
      </c>
      <c r="M35">
        <v>7.3</v>
      </c>
      <c r="N35">
        <v>238229</v>
      </c>
      <c r="O35">
        <v>238473</v>
      </c>
    </row>
    <row r="36" spans="1:15" x14ac:dyDescent="0.25">
      <c r="A36" t="s">
        <v>470</v>
      </c>
      <c r="J36" t="s">
        <v>519</v>
      </c>
      <c r="K36">
        <v>1</v>
      </c>
      <c r="L36">
        <v>32543</v>
      </c>
      <c r="M36">
        <v>7.3</v>
      </c>
      <c r="N36">
        <v>238230</v>
      </c>
      <c r="O36">
        <v>238226</v>
      </c>
    </row>
    <row r="37" spans="1:15" x14ac:dyDescent="0.25">
      <c r="A37" t="s">
        <v>471</v>
      </c>
      <c r="J37" t="s">
        <v>519</v>
      </c>
      <c r="K37">
        <v>1</v>
      </c>
      <c r="L37">
        <v>32580</v>
      </c>
      <c r="M37">
        <v>7.3</v>
      </c>
      <c r="N37">
        <v>238257</v>
      </c>
      <c r="O37">
        <v>238490</v>
      </c>
    </row>
    <row r="38" spans="1:15" x14ac:dyDescent="0.25">
      <c r="A38" t="s">
        <v>472</v>
      </c>
      <c r="J38" t="s">
        <v>519</v>
      </c>
      <c r="K38">
        <v>1</v>
      </c>
      <c r="L38">
        <v>32629</v>
      </c>
      <c r="M38">
        <v>7.3</v>
      </c>
      <c r="N38">
        <v>238239</v>
      </c>
      <c r="O38">
        <v>238525</v>
      </c>
    </row>
    <row r="39" spans="1:15" x14ac:dyDescent="0.25">
      <c r="A39" t="s">
        <v>473</v>
      </c>
      <c r="J39" t="s">
        <v>519</v>
      </c>
      <c r="K39">
        <v>1</v>
      </c>
      <c r="L39">
        <v>32633</v>
      </c>
      <c r="M39">
        <v>7.3</v>
      </c>
      <c r="N39">
        <v>238272</v>
      </c>
      <c r="O39">
        <v>238601</v>
      </c>
    </row>
    <row r="40" spans="1:15" x14ac:dyDescent="0.25">
      <c r="A40" t="s">
        <v>474</v>
      </c>
      <c r="J40" t="s">
        <v>519</v>
      </c>
      <c r="K40">
        <v>1</v>
      </c>
      <c r="L40">
        <v>32728</v>
      </c>
      <c r="M40">
        <v>7.3</v>
      </c>
      <c r="N40">
        <v>238256</v>
      </c>
      <c r="O40">
        <v>238490</v>
      </c>
    </row>
    <row r="41" spans="1:15" x14ac:dyDescent="0.25">
      <c r="A41" t="s">
        <v>475</v>
      </c>
      <c r="J41" t="s">
        <v>519</v>
      </c>
      <c r="K41">
        <v>1</v>
      </c>
      <c r="L41">
        <v>32767</v>
      </c>
      <c r="M41">
        <v>7.3</v>
      </c>
      <c r="N41">
        <v>238269</v>
      </c>
      <c r="O41">
        <v>238500</v>
      </c>
    </row>
    <row r="42" spans="1:15" x14ac:dyDescent="0.25">
      <c r="A42" t="s">
        <v>476</v>
      </c>
      <c r="J42" t="s">
        <v>519</v>
      </c>
      <c r="K42">
        <v>1</v>
      </c>
      <c r="L42">
        <v>32769</v>
      </c>
      <c r="M42">
        <v>7.3</v>
      </c>
      <c r="N42">
        <v>238271</v>
      </c>
      <c r="O42">
        <v>238601</v>
      </c>
    </row>
    <row r="43" spans="1:15" x14ac:dyDescent="0.25">
      <c r="A43" t="s">
        <v>477</v>
      </c>
      <c r="J43" t="s">
        <v>519</v>
      </c>
      <c r="K43">
        <v>1</v>
      </c>
      <c r="L43">
        <v>32812</v>
      </c>
      <c r="M43">
        <v>7.3</v>
      </c>
      <c r="N43">
        <v>238238</v>
      </c>
      <c r="O43">
        <v>238464</v>
      </c>
    </row>
    <row r="44" spans="1:15" x14ac:dyDescent="0.25">
      <c r="A44" t="s">
        <v>478</v>
      </c>
      <c r="J44" t="s">
        <v>519</v>
      </c>
      <c r="K44">
        <v>1</v>
      </c>
      <c r="L44">
        <v>32815</v>
      </c>
      <c r="M44">
        <v>7.3</v>
      </c>
      <c r="N44">
        <v>238238</v>
      </c>
      <c r="O44">
        <v>238464</v>
      </c>
    </row>
    <row r="45" spans="1:15" x14ac:dyDescent="0.25">
      <c r="A45" t="s">
        <v>479</v>
      </c>
      <c r="J45" t="s">
        <v>519</v>
      </c>
      <c r="K45">
        <v>1</v>
      </c>
      <c r="L45">
        <v>32922</v>
      </c>
      <c r="M45">
        <v>7.3</v>
      </c>
      <c r="N45">
        <v>238031</v>
      </c>
      <c r="O45">
        <v>238607</v>
      </c>
    </row>
    <row r="46" spans="1:15" x14ac:dyDescent="0.25">
      <c r="A46" t="s">
        <v>480</v>
      </c>
      <c r="J46" t="s">
        <v>519</v>
      </c>
      <c r="K46">
        <v>1</v>
      </c>
      <c r="L46">
        <v>32945</v>
      </c>
      <c r="M46">
        <v>7.3</v>
      </c>
      <c r="N46">
        <v>238038</v>
      </c>
      <c r="O46">
        <v>239444</v>
      </c>
    </row>
    <row r="47" spans="1:15" x14ac:dyDescent="0.25">
      <c r="A47" t="s">
        <v>481</v>
      </c>
      <c r="J47" t="s">
        <v>519</v>
      </c>
      <c r="K47">
        <v>1</v>
      </c>
      <c r="L47">
        <v>32974</v>
      </c>
      <c r="M47">
        <v>7.3</v>
      </c>
      <c r="N47">
        <v>238027</v>
      </c>
      <c r="O47">
        <v>238553</v>
      </c>
    </row>
    <row r="48" spans="1:15" x14ac:dyDescent="0.25">
      <c r="A48" t="s">
        <v>482</v>
      </c>
      <c r="J48" t="s">
        <v>519</v>
      </c>
      <c r="K48">
        <v>1</v>
      </c>
      <c r="L48">
        <v>33014</v>
      </c>
      <c r="M48">
        <v>7.3</v>
      </c>
      <c r="N48">
        <v>238247</v>
      </c>
      <c r="O48">
        <v>238489</v>
      </c>
    </row>
    <row r="49" spans="1:15" x14ac:dyDescent="0.25">
      <c r="A49" t="s">
        <v>483</v>
      </c>
      <c r="J49" t="s">
        <v>519</v>
      </c>
      <c r="K49">
        <v>1</v>
      </c>
      <c r="L49">
        <v>33144</v>
      </c>
      <c r="M49">
        <v>7.3</v>
      </c>
      <c r="N49">
        <v>238273</v>
      </c>
      <c r="O49">
        <v>238473</v>
      </c>
    </row>
    <row r="50" spans="1:15" x14ac:dyDescent="0.25">
      <c r="A50" t="s">
        <v>484</v>
      </c>
      <c r="J50" t="s">
        <v>519</v>
      </c>
      <c r="K50">
        <v>1</v>
      </c>
      <c r="L50">
        <v>33146</v>
      </c>
      <c r="M50">
        <v>7.3</v>
      </c>
      <c r="N50">
        <v>238229</v>
      </c>
      <c r="O50">
        <v>238227</v>
      </c>
    </row>
    <row r="51" spans="1:15" x14ac:dyDescent="0.25">
      <c r="A51" t="s">
        <v>485</v>
      </c>
      <c r="J51" t="s">
        <v>519</v>
      </c>
      <c r="K51">
        <v>1</v>
      </c>
      <c r="L51">
        <v>33165</v>
      </c>
      <c r="M51">
        <v>7.3</v>
      </c>
      <c r="N51">
        <v>238240</v>
      </c>
      <c r="O51">
        <v>238525</v>
      </c>
    </row>
    <row r="52" spans="1:15" x14ac:dyDescent="0.25">
      <c r="A52" t="s">
        <v>486</v>
      </c>
      <c r="J52" t="s">
        <v>519</v>
      </c>
      <c r="K52">
        <v>1</v>
      </c>
      <c r="L52">
        <v>33180</v>
      </c>
      <c r="M52">
        <v>7.3</v>
      </c>
      <c r="N52">
        <v>238257</v>
      </c>
      <c r="O52">
        <v>238490</v>
      </c>
    </row>
    <row r="53" spans="1:15" x14ac:dyDescent="0.25">
      <c r="A53" t="s">
        <v>487</v>
      </c>
      <c r="J53" t="s">
        <v>519</v>
      </c>
      <c r="K53">
        <v>1</v>
      </c>
      <c r="L53">
        <v>33248</v>
      </c>
      <c r="M53">
        <v>7.3</v>
      </c>
      <c r="N53">
        <v>238252</v>
      </c>
      <c r="O53">
        <v>238510</v>
      </c>
    </row>
    <row r="54" spans="1:15" x14ac:dyDescent="0.25">
      <c r="A54" t="s">
        <v>488</v>
      </c>
      <c r="J54" t="s">
        <v>519</v>
      </c>
      <c r="K54">
        <v>1</v>
      </c>
      <c r="L54">
        <v>33252</v>
      </c>
      <c r="M54">
        <v>7.3</v>
      </c>
      <c r="N54">
        <v>238037</v>
      </c>
      <c r="O54">
        <v>238612</v>
      </c>
    </row>
    <row r="55" spans="1:15" x14ac:dyDescent="0.25">
      <c r="A55" t="s">
        <v>489</v>
      </c>
      <c r="J55" t="s">
        <v>519</v>
      </c>
      <c r="K55">
        <v>1</v>
      </c>
      <c r="L55">
        <v>33290</v>
      </c>
      <c r="M55">
        <v>7.3</v>
      </c>
      <c r="N55">
        <v>238235</v>
      </c>
      <c r="O55">
        <v>238277</v>
      </c>
    </row>
    <row r="56" spans="1:15" x14ac:dyDescent="0.25">
      <c r="A56" t="s">
        <v>490</v>
      </c>
      <c r="J56" t="s">
        <v>519</v>
      </c>
      <c r="K56">
        <v>1</v>
      </c>
      <c r="L56">
        <v>33292</v>
      </c>
      <c r="M56">
        <v>7.3</v>
      </c>
      <c r="N56">
        <v>238250</v>
      </c>
      <c r="O56">
        <v>238509</v>
      </c>
    </row>
    <row r="57" spans="1:15" x14ac:dyDescent="0.25">
      <c r="A57" t="s">
        <v>491</v>
      </c>
      <c r="J57" t="s">
        <v>519</v>
      </c>
      <c r="K57">
        <v>1</v>
      </c>
      <c r="L57">
        <v>33295</v>
      </c>
      <c r="M57">
        <v>7.3</v>
      </c>
      <c r="N57">
        <v>238236</v>
      </c>
      <c r="O57">
        <v>238277</v>
      </c>
    </row>
    <row r="58" spans="1:15" x14ac:dyDescent="0.25">
      <c r="A58" t="s">
        <v>492</v>
      </c>
      <c r="J58" t="s">
        <v>519</v>
      </c>
      <c r="K58">
        <v>1</v>
      </c>
      <c r="L58">
        <v>33326</v>
      </c>
      <c r="M58">
        <v>7.3</v>
      </c>
      <c r="N58">
        <v>238029</v>
      </c>
      <c r="O58">
        <v>238561</v>
      </c>
    </row>
    <row r="59" spans="1:15" x14ac:dyDescent="0.25">
      <c r="A59" t="s">
        <v>493</v>
      </c>
      <c r="J59" t="s">
        <v>519</v>
      </c>
      <c r="K59">
        <v>1</v>
      </c>
      <c r="L59">
        <v>33410</v>
      </c>
      <c r="M59">
        <v>7.3</v>
      </c>
      <c r="N59">
        <v>238240</v>
      </c>
      <c r="O59">
        <v>238451</v>
      </c>
    </row>
    <row r="60" spans="1:15" x14ac:dyDescent="0.25">
      <c r="A60" t="s">
        <v>494</v>
      </c>
      <c r="J60" t="s">
        <v>519</v>
      </c>
      <c r="K60">
        <v>1</v>
      </c>
      <c r="L60">
        <v>33415</v>
      </c>
      <c r="M60">
        <v>7.3</v>
      </c>
      <c r="N60">
        <v>238240</v>
      </c>
      <c r="O60">
        <v>238451</v>
      </c>
    </row>
    <row r="61" spans="1:15" x14ac:dyDescent="0.25">
      <c r="A61" t="s">
        <v>495</v>
      </c>
      <c r="J61" t="s">
        <v>519</v>
      </c>
      <c r="K61">
        <v>1</v>
      </c>
      <c r="L61">
        <v>33432</v>
      </c>
      <c r="M61">
        <v>7.3</v>
      </c>
      <c r="N61">
        <v>238037</v>
      </c>
      <c r="O61">
        <v>238612</v>
      </c>
    </row>
    <row r="62" spans="1:15" x14ac:dyDescent="0.25">
      <c r="A62" t="s">
        <v>496</v>
      </c>
      <c r="J62" t="s">
        <v>519</v>
      </c>
      <c r="K62">
        <v>1</v>
      </c>
      <c r="L62">
        <v>33513</v>
      </c>
      <c r="M62">
        <v>7.3</v>
      </c>
      <c r="N62">
        <v>238035</v>
      </c>
      <c r="O62">
        <v>238538</v>
      </c>
    </row>
    <row r="63" spans="1:15" x14ac:dyDescent="0.25">
      <c r="A63" t="s">
        <v>497</v>
      </c>
      <c r="J63" t="s">
        <v>519</v>
      </c>
      <c r="K63">
        <v>1</v>
      </c>
      <c r="L63">
        <v>33545</v>
      </c>
      <c r="M63">
        <v>7.3</v>
      </c>
      <c r="N63">
        <v>238248</v>
      </c>
      <c r="O63">
        <v>238489</v>
      </c>
    </row>
    <row r="64" spans="1:15" x14ac:dyDescent="0.25">
      <c r="A64" t="s">
        <v>498</v>
      </c>
      <c r="J64" t="s">
        <v>519</v>
      </c>
      <c r="K64">
        <v>1</v>
      </c>
      <c r="L64">
        <v>33548</v>
      </c>
      <c r="M64">
        <v>7.3</v>
      </c>
      <c r="N64">
        <v>238246</v>
      </c>
      <c r="O64">
        <v>238452</v>
      </c>
    </row>
    <row r="65" spans="1:15" x14ac:dyDescent="0.25">
      <c r="A65" t="s">
        <v>499</v>
      </c>
      <c r="J65" t="s">
        <v>519</v>
      </c>
      <c r="K65">
        <v>1</v>
      </c>
      <c r="L65">
        <v>33551</v>
      </c>
      <c r="M65">
        <v>7.3</v>
      </c>
      <c r="N65">
        <v>238255</v>
      </c>
      <c r="O65">
        <v>238535</v>
      </c>
    </row>
    <row r="66" spans="1:15" x14ac:dyDescent="0.25">
      <c r="A66" t="s">
        <v>500</v>
      </c>
      <c r="J66" t="s">
        <v>519</v>
      </c>
      <c r="K66">
        <v>1</v>
      </c>
      <c r="L66">
        <v>33556</v>
      </c>
      <c r="M66">
        <v>7.3</v>
      </c>
      <c r="N66">
        <v>238236</v>
      </c>
      <c r="O66">
        <v>238613</v>
      </c>
    </row>
    <row r="67" spans="1:15" x14ac:dyDescent="0.25">
      <c r="A67" t="s">
        <v>501</v>
      </c>
      <c r="J67" t="s">
        <v>519</v>
      </c>
      <c r="K67">
        <v>1</v>
      </c>
      <c r="L67">
        <v>33573</v>
      </c>
      <c r="M67">
        <v>7.3</v>
      </c>
      <c r="N67">
        <v>238242</v>
      </c>
      <c r="O67">
        <v>238499</v>
      </c>
    </row>
    <row r="68" spans="1:15" x14ac:dyDescent="0.25">
      <c r="A68" t="s">
        <v>502</v>
      </c>
      <c r="J68" t="s">
        <v>519</v>
      </c>
      <c r="K68">
        <v>1</v>
      </c>
      <c r="L68">
        <v>33710</v>
      </c>
      <c r="M68">
        <v>7.3</v>
      </c>
      <c r="N68">
        <v>238244</v>
      </c>
      <c r="O68">
        <v>238440</v>
      </c>
    </row>
    <row r="69" spans="1:15" x14ac:dyDescent="0.25">
      <c r="A69" t="s">
        <v>503</v>
      </c>
      <c r="J69" t="s">
        <v>519</v>
      </c>
      <c r="K69">
        <v>1</v>
      </c>
      <c r="L69">
        <v>33716</v>
      </c>
      <c r="M69">
        <v>7.3</v>
      </c>
      <c r="N69">
        <v>238026</v>
      </c>
      <c r="O69">
        <v>238516</v>
      </c>
    </row>
    <row r="70" spans="1:15" x14ac:dyDescent="0.25">
      <c r="A70" t="s">
        <v>504</v>
      </c>
      <c r="J70" t="s">
        <v>519</v>
      </c>
      <c r="K70">
        <v>1</v>
      </c>
      <c r="L70">
        <v>33792</v>
      </c>
      <c r="M70">
        <v>7.3</v>
      </c>
      <c r="N70">
        <v>238265</v>
      </c>
      <c r="O70">
        <v>238582</v>
      </c>
    </row>
    <row r="71" spans="1:15" x14ac:dyDescent="0.25">
      <c r="A71" t="s">
        <v>505</v>
      </c>
      <c r="J71" t="s">
        <v>519</v>
      </c>
      <c r="K71">
        <v>1</v>
      </c>
      <c r="L71">
        <v>33811</v>
      </c>
      <c r="M71">
        <v>7.3</v>
      </c>
      <c r="N71">
        <v>238029</v>
      </c>
      <c r="O71">
        <v>238561</v>
      </c>
    </row>
    <row r="72" spans="1:15" x14ac:dyDescent="0.25">
      <c r="A72" t="s">
        <v>506</v>
      </c>
      <c r="J72" t="s">
        <v>519</v>
      </c>
      <c r="K72">
        <v>1</v>
      </c>
      <c r="L72">
        <v>33822</v>
      </c>
      <c r="M72">
        <v>7.3</v>
      </c>
      <c r="N72">
        <v>238242</v>
      </c>
      <c r="O72">
        <v>238450</v>
      </c>
    </row>
    <row r="73" spans="1:15" x14ac:dyDescent="0.25">
      <c r="A73" t="s">
        <v>507</v>
      </c>
      <c r="J73" t="s">
        <v>519</v>
      </c>
      <c r="K73">
        <v>1</v>
      </c>
      <c r="L73">
        <v>33835</v>
      </c>
      <c r="M73">
        <v>7.3</v>
      </c>
      <c r="N73">
        <v>238249</v>
      </c>
      <c r="O73">
        <v>238509</v>
      </c>
    </row>
    <row r="74" spans="1:15" x14ac:dyDescent="0.25">
      <c r="A74" t="s">
        <v>508</v>
      </c>
      <c r="J74" t="s">
        <v>519</v>
      </c>
      <c r="K74">
        <v>1</v>
      </c>
      <c r="L74">
        <v>33843</v>
      </c>
      <c r="M74">
        <v>7.3</v>
      </c>
      <c r="N74">
        <v>238253</v>
      </c>
      <c r="O74">
        <v>238535</v>
      </c>
    </row>
    <row r="75" spans="1:15" x14ac:dyDescent="0.25">
      <c r="A75" t="s">
        <v>509</v>
      </c>
      <c r="J75" t="s">
        <v>519</v>
      </c>
      <c r="K75">
        <v>1</v>
      </c>
      <c r="L75">
        <v>33851</v>
      </c>
      <c r="M75">
        <v>7.3</v>
      </c>
      <c r="N75">
        <v>238248</v>
      </c>
      <c r="O75">
        <v>238453</v>
      </c>
    </row>
    <row r="76" spans="1:15" x14ac:dyDescent="0.25">
      <c r="A76" t="s">
        <v>510</v>
      </c>
      <c r="J76" t="s">
        <v>519</v>
      </c>
      <c r="K76">
        <v>1</v>
      </c>
      <c r="L76">
        <v>33923</v>
      </c>
      <c r="M76">
        <v>7.3</v>
      </c>
      <c r="N76">
        <v>238241</v>
      </c>
      <c r="O76">
        <v>238499</v>
      </c>
    </row>
    <row r="77" spans="1:15" x14ac:dyDescent="0.25">
      <c r="A77" t="s">
        <v>511</v>
      </c>
      <c r="J77" t="s">
        <v>519</v>
      </c>
      <c r="K77">
        <v>1</v>
      </c>
      <c r="L77">
        <v>33924</v>
      </c>
      <c r="M77">
        <v>7.3</v>
      </c>
      <c r="N77">
        <v>238268</v>
      </c>
      <c r="O77">
        <v>238567</v>
      </c>
    </row>
    <row r="78" spans="1:15" x14ac:dyDescent="0.25">
      <c r="A78" t="s">
        <v>512</v>
      </c>
      <c r="J78" t="s">
        <v>519</v>
      </c>
      <c r="K78">
        <v>1</v>
      </c>
      <c r="L78">
        <v>33948</v>
      </c>
      <c r="M78">
        <v>7.3</v>
      </c>
      <c r="N78">
        <v>238269</v>
      </c>
      <c r="O78">
        <v>238500</v>
      </c>
    </row>
    <row r="79" spans="1:15" x14ac:dyDescent="0.25">
      <c r="A79" t="s">
        <v>513</v>
      </c>
      <c r="J79" t="s">
        <v>519</v>
      </c>
      <c r="K79">
        <v>1</v>
      </c>
      <c r="L79">
        <v>33951</v>
      </c>
      <c r="M79">
        <v>7.3</v>
      </c>
      <c r="N79">
        <v>238033</v>
      </c>
      <c r="O79">
        <v>238494</v>
      </c>
    </row>
    <row r="80" spans="1:15" x14ac:dyDescent="0.25">
      <c r="A80" t="s">
        <v>514</v>
      </c>
      <c r="J80" t="s">
        <v>519</v>
      </c>
      <c r="K80">
        <v>1</v>
      </c>
      <c r="L80">
        <v>33953</v>
      </c>
      <c r="M80">
        <v>7.3</v>
      </c>
      <c r="N80">
        <v>238037</v>
      </c>
      <c r="O80">
        <v>238538</v>
      </c>
    </row>
    <row r="81" spans="1:15" x14ac:dyDescent="0.25">
      <c r="A81" t="s">
        <v>515</v>
      </c>
      <c r="J81" t="s">
        <v>519</v>
      </c>
      <c r="K81">
        <v>1</v>
      </c>
      <c r="L81">
        <v>33954</v>
      </c>
      <c r="M81">
        <v>7.3</v>
      </c>
      <c r="N81">
        <v>238036</v>
      </c>
      <c r="O81">
        <v>238538</v>
      </c>
    </row>
    <row r="82" spans="1:15" x14ac:dyDescent="0.25">
      <c r="A82" t="s">
        <v>516</v>
      </c>
      <c r="J82" t="s">
        <v>519</v>
      </c>
      <c r="K82">
        <v>1</v>
      </c>
      <c r="L82">
        <v>33984</v>
      </c>
      <c r="M82">
        <v>7.3</v>
      </c>
      <c r="N82">
        <v>238034</v>
      </c>
      <c r="O82">
        <v>238592</v>
      </c>
    </row>
    <row r="83" spans="1:15" x14ac:dyDescent="0.25">
      <c r="A83" t="s">
        <v>517</v>
      </c>
      <c r="J83" t="s">
        <v>519</v>
      </c>
      <c r="K83">
        <v>1</v>
      </c>
      <c r="L83">
        <v>34057</v>
      </c>
      <c r="M83">
        <v>7.3</v>
      </c>
      <c r="N83">
        <v>238265</v>
      </c>
      <c r="O83">
        <v>238582</v>
      </c>
    </row>
    <row r="84" spans="1:15" x14ac:dyDescent="0.25">
      <c r="A84" t="s">
        <v>518</v>
      </c>
      <c r="J84" t="s">
        <v>519</v>
      </c>
      <c r="K84">
        <v>1</v>
      </c>
      <c r="L84">
        <v>34079</v>
      </c>
      <c r="M84">
        <v>7.3</v>
      </c>
      <c r="N84">
        <v>238267</v>
      </c>
      <c r="O84">
        <v>238583</v>
      </c>
    </row>
    <row r="85" spans="1:15" x14ac:dyDescent="0.25">
      <c r="J85" t="s">
        <v>519</v>
      </c>
      <c r="K85">
        <v>1</v>
      </c>
      <c r="L85">
        <v>34092</v>
      </c>
      <c r="M85">
        <v>7.3</v>
      </c>
      <c r="N85">
        <v>238246</v>
      </c>
      <c r="O85">
        <v>238452</v>
      </c>
    </row>
    <row r="86" spans="1:15" x14ac:dyDescent="0.25">
      <c r="J86" t="s">
        <v>519</v>
      </c>
      <c r="K86">
        <v>1</v>
      </c>
      <c r="L86">
        <v>34101</v>
      </c>
      <c r="M86">
        <v>7.3</v>
      </c>
      <c r="N86">
        <v>238246</v>
      </c>
      <c r="O86">
        <v>238492</v>
      </c>
    </row>
    <row r="87" spans="1:15" x14ac:dyDescent="0.25">
      <c r="J87" t="s">
        <v>519</v>
      </c>
      <c r="K87">
        <v>1</v>
      </c>
      <c r="L87">
        <v>34105</v>
      </c>
      <c r="M87">
        <v>7.3</v>
      </c>
      <c r="N87">
        <v>238243</v>
      </c>
      <c r="O87">
        <v>238503</v>
      </c>
    </row>
    <row r="88" spans="1:15" x14ac:dyDescent="0.25">
      <c r="J88" t="s">
        <v>519</v>
      </c>
      <c r="K88">
        <v>1</v>
      </c>
      <c r="L88">
        <v>34163</v>
      </c>
      <c r="M88">
        <v>7.3</v>
      </c>
      <c r="N88">
        <v>238251</v>
      </c>
      <c r="O88">
        <v>238510</v>
      </c>
    </row>
    <row r="89" spans="1:15" x14ac:dyDescent="0.25">
      <c r="J89" t="s">
        <v>519</v>
      </c>
      <c r="K89">
        <v>1</v>
      </c>
      <c r="L89">
        <v>34175</v>
      </c>
      <c r="M89">
        <v>7.3</v>
      </c>
      <c r="N89">
        <v>238253</v>
      </c>
      <c r="O89">
        <v>238537</v>
      </c>
    </row>
    <row r="90" spans="1:15" x14ac:dyDescent="0.25">
      <c r="J90" t="s">
        <v>519</v>
      </c>
      <c r="K90">
        <v>1</v>
      </c>
      <c r="L90">
        <v>34198</v>
      </c>
      <c r="M90">
        <v>7.3</v>
      </c>
      <c r="N90">
        <v>238030</v>
      </c>
      <c r="O90">
        <v>238607</v>
      </c>
    </row>
    <row r="91" spans="1:15" x14ac:dyDescent="0.25">
      <c r="J91" t="s">
        <v>519</v>
      </c>
      <c r="K91">
        <v>1</v>
      </c>
      <c r="L91">
        <v>34219</v>
      </c>
      <c r="M91">
        <v>7.3</v>
      </c>
      <c r="N91">
        <v>238029</v>
      </c>
      <c r="O91">
        <v>238554</v>
      </c>
    </row>
    <row r="92" spans="1:15" x14ac:dyDescent="0.25">
      <c r="J92" t="s">
        <v>519</v>
      </c>
      <c r="K92">
        <v>1</v>
      </c>
      <c r="L92">
        <v>34220</v>
      </c>
      <c r="M92">
        <v>7.3</v>
      </c>
      <c r="N92">
        <v>238028</v>
      </c>
      <c r="O92">
        <v>238554</v>
      </c>
    </row>
    <row r="93" spans="1:15" x14ac:dyDescent="0.25">
      <c r="J93" t="s">
        <v>519</v>
      </c>
      <c r="K93">
        <v>1</v>
      </c>
      <c r="L93">
        <v>34225</v>
      </c>
      <c r="M93">
        <v>7.3</v>
      </c>
      <c r="N93">
        <v>238027</v>
      </c>
      <c r="O93">
        <v>238554</v>
      </c>
    </row>
    <row r="94" spans="1:15" x14ac:dyDescent="0.25">
      <c r="J94" t="s">
        <v>519</v>
      </c>
      <c r="K94">
        <v>1</v>
      </c>
      <c r="L94">
        <v>34231</v>
      </c>
      <c r="M94">
        <v>7.3</v>
      </c>
      <c r="N94">
        <v>238260</v>
      </c>
      <c r="O94">
        <v>238602</v>
      </c>
    </row>
    <row r="95" spans="1:15" x14ac:dyDescent="0.25">
      <c r="J95" t="s">
        <v>519</v>
      </c>
      <c r="K95">
        <v>1</v>
      </c>
      <c r="L95">
        <v>34235</v>
      </c>
      <c r="M95">
        <v>7.3</v>
      </c>
      <c r="N95">
        <v>238248</v>
      </c>
      <c r="O95">
        <v>238453</v>
      </c>
    </row>
    <row r="96" spans="1:15" x14ac:dyDescent="0.25">
      <c r="J96" t="s">
        <v>519</v>
      </c>
      <c r="K96">
        <v>1</v>
      </c>
      <c r="L96">
        <v>34236</v>
      </c>
      <c r="M96">
        <v>7.3</v>
      </c>
      <c r="N96">
        <v>238035</v>
      </c>
      <c r="O96">
        <v>238592</v>
      </c>
    </row>
    <row r="97" spans="10:15" x14ac:dyDescent="0.25">
      <c r="J97" t="s">
        <v>519</v>
      </c>
      <c r="K97">
        <v>1</v>
      </c>
      <c r="L97">
        <v>34238</v>
      </c>
      <c r="M97">
        <v>7.3</v>
      </c>
      <c r="N97">
        <v>238035</v>
      </c>
      <c r="O97">
        <v>238538</v>
      </c>
    </row>
    <row r="98" spans="10:15" x14ac:dyDescent="0.25">
      <c r="J98" t="s">
        <v>519</v>
      </c>
      <c r="K98">
        <v>1</v>
      </c>
      <c r="L98">
        <v>34297</v>
      </c>
      <c r="M98">
        <v>7.3</v>
      </c>
      <c r="N98">
        <v>238031</v>
      </c>
      <c r="O98">
        <v>238608</v>
      </c>
    </row>
    <row r="99" spans="10:15" x14ac:dyDescent="0.25">
      <c r="J99" t="s">
        <v>519</v>
      </c>
      <c r="K99">
        <v>1</v>
      </c>
      <c r="L99">
        <v>34417</v>
      </c>
      <c r="M99">
        <v>7.3</v>
      </c>
      <c r="N99">
        <v>238032</v>
      </c>
      <c r="O99">
        <v>238608</v>
      </c>
    </row>
    <row r="100" spans="10:15" x14ac:dyDescent="0.25">
      <c r="J100" t="s">
        <v>519</v>
      </c>
      <c r="K100">
        <v>1</v>
      </c>
      <c r="L100">
        <v>34438</v>
      </c>
      <c r="M100">
        <v>7.3</v>
      </c>
      <c r="N100">
        <v>238264</v>
      </c>
      <c r="O100">
        <v>238582</v>
      </c>
    </row>
    <row r="101" spans="10:15" x14ac:dyDescent="0.25">
      <c r="J101" t="s">
        <v>519</v>
      </c>
      <c r="K101">
        <v>1</v>
      </c>
      <c r="L101">
        <v>34441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A50"/>
  <sheetViews>
    <sheetView workbookViewId="0">
      <selection activeCell="C27" sqref="C27"/>
    </sheetView>
  </sheetViews>
  <sheetFormatPr defaultRowHeight="15" x14ac:dyDescent="0.25"/>
  <cols>
    <col min="1" max="1" width="40.28515625" bestFit="1" customWidth="1"/>
    <col min="2" max="2" width="28" customWidth="1"/>
    <col min="3" max="3" width="9.42578125" customWidth="1"/>
    <col min="4" max="4" width="15.5703125" customWidth="1"/>
    <col min="5" max="27" width="9.42578125" customWidth="1"/>
  </cols>
  <sheetData>
    <row r="1" spans="1:27" x14ac:dyDescent="0.25">
      <c r="A1">
        <v>21.466999999999999</v>
      </c>
      <c r="C1" s="2" t="s">
        <v>24</v>
      </c>
      <c r="H1" s="1">
        <v>8</v>
      </c>
      <c r="I1">
        <v>9</v>
      </c>
      <c r="J1">
        <v>10</v>
      </c>
      <c r="K1">
        <v>11</v>
      </c>
      <c r="L1" s="1">
        <v>12</v>
      </c>
      <c r="M1">
        <v>13</v>
      </c>
      <c r="N1">
        <v>14</v>
      </c>
      <c r="O1">
        <v>15</v>
      </c>
      <c r="P1" s="1">
        <v>16</v>
      </c>
      <c r="Q1">
        <v>17</v>
      </c>
      <c r="R1">
        <v>18</v>
      </c>
      <c r="S1">
        <v>19</v>
      </c>
      <c r="T1" s="1">
        <v>20</v>
      </c>
      <c r="U1">
        <v>21</v>
      </c>
      <c r="V1">
        <v>22</v>
      </c>
      <c r="W1">
        <v>23</v>
      </c>
      <c r="X1" s="1">
        <v>24</v>
      </c>
      <c r="Y1">
        <v>25</v>
      </c>
      <c r="Z1">
        <v>26</v>
      </c>
      <c r="AA1">
        <v>27</v>
      </c>
    </row>
    <row r="2" spans="1:27" x14ac:dyDescent="0.25">
      <c r="C2" s="2" t="s">
        <v>125</v>
      </c>
      <c r="D2" t="s">
        <v>124</v>
      </c>
      <c r="H2" s="3" t="s">
        <v>230</v>
      </c>
      <c r="I2" s="4"/>
      <c r="J2" s="4"/>
      <c r="K2" s="4"/>
      <c r="L2" s="4"/>
      <c r="M2" s="4"/>
      <c r="N2" s="4"/>
      <c r="O2" s="4"/>
      <c r="P2" s="4"/>
      <c r="Q2" s="4"/>
      <c r="R2" s="13" t="s">
        <v>231</v>
      </c>
      <c r="S2" s="4"/>
      <c r="T2" s="4"/>
      <c r="U2" s="4"/>
      <c r="V2" s="4"/>
      <c r="W2" s="4"/>
      <c r="X2" s="4"/>
      <c r="Y2" s="5"/>
      <c r="Z2" s="4"/>
      <c r="AA2" s="4"/>
    </row>
    <row r="3" spans="1:27" x14ac:dyDescent="0.25">
      <c r="A3" t="s">
        <v>126</v>
      </c>
      <c r="B3" t="s">
        <v>319</v>
      </c>
      <c r="C3" s="1" t="s">
        <v>0</v>
      </c>
      <c r="D3" s="1" t="s">
        <v>1</v>
      </c>
      <c r="E3" s="1" t="s">
        <v>2</v>
      </c>
      <c r="F3" s="1" t="s">
        <v>28</v>
      </c>
      <c r="G3" s="1"/>
      <c r="H3" s="6" t="s">
        <v>26</v>
      </c>
      <c r="I3" s="7" t="s">
        <v>122</v>
      </c>
      <c r="J3" s="7" t="s">
        <v>123</v>
      </c>
      <c r="K3" s="7" t="s">
        <v>3</v>
      </c>
      <c r="L3" s="7" t="s">
        <v>122</v>
      </c>
      <c r="M3" s="7" t="s">
        <v>123</v>
      </c>
      <c r="N3" s="7" t="s">
        <v>59</v>
      </c>
      <c r="O3" s="7" t="s">
        <v>4</v>
      </c>
      <c r="P3" s="7" t="s">
        <v>122</v>
      </c>
      <c r="Q3" s="7" t="s">
        <v>123</v>
      </c>
      <c r="R3" s="14" t="s">
        <v>27</v>
      </c>
      <c r="S3" s="7" t="s">
        <v>122</v>
      </c>
      <c r="T3" s="7" t="s">
        <v>123</v>
      </c>
      <c r="U3" s="7" t="s">
        <v>5</v>
      </c>
      <c r="V3" s="7" t="s">
        <v>122</v>
      </c>
      <c r="W3" s="7" t="s">
        <v>123</v>
      </c>
      <c r="X3" s="7" t="s">
        <v>78</v>
      </c>
      <c r="Y3" s="8" t="s">
        <v>6</v>
      </c>
      <c r="Z3" s="7" t="s">
        <v>122</v>
      </c>
      <c r="AA3" s="7" t="s">
        <v>123</v>
      </c>
    </row>
    <row r="4" spans="1:27" x14ac:dyDescent="0.25">
      <c r="C4">
        <v>322</v>
      </c>
      <c r="D4" t="s">
        <v>8</v>
      </c>
      <c r="E4" t="s">
        <v>9</v>
      </c>
      <c r="F4">
        <v>1</v>
      </c>
      <c r="G4" s="19" t="s">
        <v>228</v>
      </c>
      <c r="H4">
        <v>0</v>
      </c>
      <c r="I4" s="9">
        <f>RADIANS(H4)</f>
        <v>0</v>
      </c>
      <c r="J4" s="9">
        <f>IF(I4&gt;0,$A$1*SIN(I4), $A$1*SIN(-I4))</f>
        <v>0</v>
      </c>
      <c r="K4" s="9">
        <f>IF(G4="pitch",H4-10, H4)</f>
        <v>0</v>
      </c>
      <c r="L4" s="9">
        <f>RADIANS(K4)</f>
        <v>0</v>
      </c>
      <c r="M4" s="9">
        <f>IF(L4&gt;0,$A$1*SIN(L4), $A$1*SIN(-L4))</f>
        <v>0</v>
      </c>
      <c r="N4" s="9" t="s">
        <v>226</v>
      </c>
      <c r="O4" s="9">
        <f>IF($G4="pitch",H4+10, H4)</f>
        <v>0</v>
      </c>
      <c r="P4" s="9">
        <f>RADIANS(O4)</f>
        <v>0</v>
      </c>
      <c r="Q4" s="9">
        <f>IF(P4&gt;0,$A$1*SIN(P4), $A$1*SIN(-P4))</f>
        <v>0</v>
      </c>
      <c r="R4" s="15">
        <v>15</v>
      </c>
      <c r="S4" s="9">
        <f>RADIANS(R4)</f>
        <v>0.26179938779914941</v>
      </c>
      <c r="T4" s="9">
        <f>IF(S4&gt;0,$A$1*SIN(S4), $A$1*SIN(-S4))</f>
        <v>5.5560684412158121</v>
      </c>
      <c r="U4" s="9">
        <f>IF($G4="yaw",R4-10, R4)</f>
        <v>5</v>
      </c>
      <c r="V4" s="9">
        <f>RADIANS(U4)</f>
        <v>8.7266462599716474E-2</v>
      </c>
      <c r="W4" s="9">
        <f>IF(V4&gt;0,$A$1*SIN(V4), $A$1*SIN(-V4))</f>
        <v>1.8709723295639777</v>
      </c>
      <c r="X4" s="9" t="s">
        <v>79</v>
      </c>
      <c r="Y4" s="9">
        <f>IF($G4="yaw",R4+10, R4)</f>
        <v>25</v>
      </c>
      <c r="Z4" s="9">
        <f>RADIANS(Y4)</f>
        <v>0.43633231299858238</v>
      </c>
      <c r="AA4" s="9">
        <f>IF(Z4&gt;0,$A$1*SIN(Z4), $A$1*SIN(-Z4))</f>
        <v>9.0723462247875943</v>
      </c>
    </row>
    <row r="5" spans="1:27" x14ac:dyDescent="0.25">
      <c r="C5">
        <v>334</v>
      </c>
      <c r="D5" t="s">
        <v>8</v>
      </c>
      <c r="E5" t="s">
        <v>10</v>
      </c>
      <c r="F5">
        <v>2</v>
      </c>
      <c r="G5" s="19" t="s">
        <v>229</v>
      </c>
      <c r="H5">
        <v>-0.5</v>
      </c>
      <c r="I5" s="9">
        <f t="shared" ref="I5:I50" si="0">RADIANS(H5)</f>
        <v>-8.7266462599716477E-3</v>
      </c>
      <c r="J5" s="9">
        <f t="shared" ref="J5:J50" si="1">IF(I5&gt;0,$A$1*SIN(I5), $A$1*SIN(-I5))</f>
        <v>0.18733253754359325</v>
      </c>
      <c r="K5" s="9">
        <f t="shared" ref="K5:K50" si="2">IF(G5="pitch",H5-10, H5)</f>
        <v>-10.5</v>
      </c>
      <c r="L5" s="9">
        <f t="shared" ref="L5:L50" si="3">RADIANS(K5)</f>
        <v>-0.18325957145940461</v>
      </c>
      <c r="M5" s="9">
        <f t="shared" ref="M5:M50" si="4">IF(L5&gt;0,$A$1*SIN(L5), $A$1*SIN(-L5))</f>
        <v>3.9120500257399295</v>
      </c>
      <c r="N5" s="9" t="s">
        <v>226</v>
      </c>
      <c r="O5" s="9">
        <f t="shared" ref="O5:O50" si="5">IF($G5="pitch",H5+10, H5)</f>
        <v>9.5</v>
      </c>
      <c r="P5" s="9">
        <f t="shared" ref="P5:P50" si="6">RADIANS(O5)</f>
        <v>0.16580627893946132</v>
      </c>
      <c r="Q5" s="9">
        <f t="shared" ref="Q5:Q50" si="7">IF(P5&gt;0,$A$1*SIN(P5), $A$1*SIN(-P5))</f>
        <v>3.5430769550111672</v>
      </c>
      <c r="R5" s="15">
        <v>0</v>
      </c>
      <c r="S5" s="9">
        <f t="shared" ref="S5:S50" si="8">RADIANS(R5)</f>
        <v>0</v>
      </c>
      <c r="T5" s="9">
        <f t="shared" ref="T5:T50" si="9">IF(S5&gt;0,$A$1*SIN(S5), $A$1*SIN(-S5))</f>
        <v>0</v>
      </c>
      <c r="U5" s="9">
        <f t="shared" ref="U5:U50" si="10">IF($G5="yaw",R5-10, R5)</f>
        <v>0</v>
      </c>
      <c r="V5" s="9">
        <f t="shared" ref="V5:V50" si="11">RADIANS(U5)</f>
        <v>0</v>
      </c>
      <c r="W5" s="9">
        <f t="shared" ref="W5:W50" si="12">IF(V5&gt;0,$A$1*SIN(V5), $A$1*SIN(-V5))</f>
        <v>0</v>
      </c>
      <c r="X5" s="9" t="s">
        <v>79</v>
      </c>
      <c r="Y5" s="9">
        <f t="shared" ref="Y5:Y50" si="13">IF($G5="yaw",R5+10, R5)</f>
        <v>0</v>
      </c>
      <c r="Z5" s="9">
        <f t="shared" ref="Z5:Z50" si="14">RADIANS(Y5)</f>
        <v>0</v>
      </c>
      <c r="AA5" s="9">
        <f t="shared" ref="AA5:AA50" si="15">IF(Z5&gt;0,$A$1*SIN(Z5), $A$1*SIN(-Z5))</f>
        <v>0</v>
      </c>
    </row>
    <row r="6" spans="1:27" x14ac:dyDescent="0.25">
      <c r="C6">
        <v>325</v>
      </c>
      <c r="D6" t="s">
        <v>8</v>
      </c>
      <c r="E6" t="s">
        <v>11</v>
      </c>
      <c r="F6">
        <v>3</v>
      </c>
      <c r="G6" s="19" t="s">
        <v>228</v>
      </c>
      <c r="H6">
        <v>0</v>
      </c>
      <c r="I6" s="9">
        <f t="shared" si="0"/>
        <v>0</v>
      </c>
      <c r="J6" s="9">
        <f t="shared" si="1"/>
        <v>0</v>
      </c>
      <c r="K6" s="9">
        <f t="shared" si="2"/>
        <v>0</v>
      </c>
      <c r="L6" s="9">
        <f t="shared" si="3"/>
        <v>0</v>
      </c>
      <c r="M6" s="9">
        <f t="shared" si="4"/>
        <v>0</v>
      </c>
      <c r="N6" s="9" t="s">
        <v>226</v>
      </c>
      <c r="O6" s="9">
        <f t="shared" si="5"/>
        <v>0</v>
      </c>
      <c r="P6" s="9">
        <f t="shared" si="6"/>
        <v>0</v>
      </c>
      <c r="Q6" s="9">
        <f t="shared" si="7"/>
        <v>0</v>
      </c>
      <c r="R6" s="15">
        <v>0</v>
      </c>
      <c r="S6" s="9">
        <f t="shared" si="8"/>
        <v>0</v>
      </c>
      <c r="T6" s="9">
        <f t="shared" si="9"/>
        <v>0</v>
      </c>
      <c r="U6" s="9">
        <f t="shared" si="10"/>
        <v>-10</v>
      </c>
      <c r="V6" s="9">
        <f t="shared" si="11"/>
        <v>-0.17453292519943295</v>
      </c>
      <c r="W6" s="9">
        <f t="shared" si="12"/>
        <v>3.7277054299759933</v>
      </c>
      <c r="X6" s="9" t="s">
        <v>79</v>
      </c>
      <c r="Y6" s="9">
        <f t="shared" si="13"/>
        <v>10</v>
      </c>
      <c r="Z6" s="9">
        <f t="shared" si="14"/>
        <v>0.17453292519943295</v>
      </c>
      <c r="AA6" s="9">
        <f t="shared" si="15"/>
        <v>3.7277054299759933</v>
      </c>
    </row>
    <row r="7" spans="1:27" x14ac:dyDescent="0.25">
      <c r="C7">
        <v>321</v>
      </c>
      <c r="D7" t="s">
        <v>8</v>
      </c>
      <c r="E7" t="s">
        <v>12</v>
      </c>
      <c r="F7">
        <v>4</v>
      </c>
      <c r="G7" s="19" t="s">
        <v>228</v>
      </c>
      <c r="H7">
        <v>0</v>
      </c>
      <c r="I7" s="9">
        <f t="shared" si="0"/>
        <v>0</v>
      </c>
      <c r="J7" s="9">
        <f t="shared" si="1"/>
        <v>0</v>
      </c>
      <c r="K7" s="9">
        <f t="shared" si="2"/>
        <v>0</v>
      </c>
      <c r="L7" s="9">
        <f t="shared" si="3"/>
        <v>0</v>
      </c>
      <c r="M7" s="9">
        <f t="shared" si="4"/>
        <v>0</v>
      </c>
      <c r="N7" s="9" t="s">
        <v>226</v>
      </c>
      <c r="O7" s="9">
        <f t="shared" si="5"/>
        <v>0</v>
      </c>
      <c r="P7" s="9">
        <f t="shared" si="6"/>
        <v>0</v>
      </c>
      <c r="Q7" s="9">
        <f t="shared" si="7"/>
        <v>0</v>
      </c>
      <c r="R7" s="15">
        <v>-15</v>
      </c>
      <c r="S7" s="9">
        <f t="shared" si="8"/>
        <v>-0.26179938779914941</v>
      </c>
      <c r="T7" s="9">
        <f t="shared" si="9"/>
        <v>5.5560684412158121</v>
      </c>
      <c r="U7" s="9">
        <f t="shared" si="10"/>
        <v>-25</v>
      </c>
      <c r="V7" s="9">
        <f t="shared" si="11"/>
        <v>-0.43633231299858238</v>
      </c>
      <c r="W7" s="9">
        <f t="shared" si="12"/>
        <v>9.0723462247875943</v>
      </c>
      <c r="X7" s="9" t="s">
        <v>79</v>
      </c>
      <c r="Y7" s="9">
        <f t="shared" si="13"/>
        <v>-5</v>
      </c>
      <c r="Z7" s="9">
        <f t="shared" si="14"/>
        <v>-8.7266462599716474E-2</v>
      </c>
      <c r="AA7" s="9">
        <f t="shared" si="15"/>
        <v>1.8709723295639777</v>
      </c>
    </row>
    <row r="8" spans="1:27" x14ac:dyDescent="0.25">
      <c r="C8">
        <v>344</v>
      </c>
      <c r="D8" t="s">
        <v>8</v>
      </c>
      <c r="E8" t="s">
        <v>13</v>
      </c>
      <c r="F8">
        <v>5</v>
      </c>
      <c r="G8" s="19" t="s">
        <v>228</v>
      </c>
      <c r="H8">
        <v>0</v>
      </c>
      <c r="I8" s="9">
        <f t="shared" si="0"/>
        <v>0</v>
      </c>
      <c r="J8" s="9">
        <f t="shared" si="1"/>
        <v>0</v>
      </c>
      <c r="K8" s="9">
        <f t="shared" si="2"/>
        <v>0</v>
      </c>
      <c r="L8" s="9">
        <f t="shared" si="3"/>
        <v>0</v>
      </c>
      <c r="M8" s="9">
        <f t="shared" si="4"/>
        <v>0</v>
      </c>
      <c r="N8" s="9" t="s">
        <v>226</v>
      </c>
      <c r="O8" s="9">
        <f t="shared" si="5"/>
        <v>0</v>
      </c>
      <c r="P8" s="9">
        <f t="shared" si="6"/>
        <v>0</v>
      </c>
      <c r="Q8" s="9">
        <f t="shared" si="7"/>
        <v>0</v>
      </c>
      <c r="R8" s="16">
        <v>0</v>
      </c>
      <c r="S8" s="9">
        <f t="shared" si="8"/>
        <v>0</v>
      </c>
      <c r="T8" s="9">
        <f t="shared" si="9"/>
        <v>0</v>
      </c>
      <c r="U8" s="9">
        <f t="shared" si="10"/>
        <v>-10</v>
      </c>
      <c r="V8" s="9">
        <f t="shared" si="11"/>
        <v>-0.17453292519943295</v>
      </c>
      <c r="W8" s="9">
        <f t="shared" si="12"/>
        <v>3.7277054299759933</v>
      </c>
      <c r="X8" s="9" t="s">
        <v>79</v>
      </c>
      <c r="Y8" s="9">
        <f t="shared" si="13"/>
        <v>10</v>
      </c>
      <c r="Z8" s="9">
        <f t="shared" si="14"/>
        <v>0.17453292519943295</v>
      </c>
      <c r="AA8" s="9">
        <f t="shared" si="15"/>
        <v>3.7277054299759933</v>
      </c>
    </row>
    <row r="9" spans="1:27" x14ac:dyDescent="0.25">
      <c r="C9">
        <v>514</v>
      </c>
      <c r="D9" t="s">
        <v>14</v>
      </c>
      <c r="E9" t="s">
        <v>9</v>
      </c>
      <c r="F9">
        <v>6</v>
      </c>
      <c r="G9" s="19" t="s">
        <v>228</v>
      </c>
      <c r="H9">
        <v>0</v>
      </c>
      <c r="I9" s="9">
        <f t="shared" si="0"/>
        <v>0</v>
      </c>
      <c r="J9" s="9">
        <f t="shared" si="1"/>
        <v>0</v>
      </c>
      <c r="K9" s="9">
        <f t="shared" si="2"/>
        <v>0</v>
      </c>
      <c r="L9" s="9">
        <f t="shared" si="3"/>
        <v>0</v>
      </c>
      <c r="M9" s="9">
        <f t="shared" si="4"/>
        <v>0</v>
      </c>
      <c r="N9" s="9" t="s">
        <v>226</v>
      </c>
      <c r="O9" s="9">
        <f t="shared" si="5"/>
        <v>0</v>
      </c>
      <c r="P9" s="9">
        <f t="shared" si="6"/>
        <v>0</v>
      </c>
      <c r="Q9" s="9">
        <f t="shared" si="7"/>
        <v>0</v>
      </c>
      <c r="R9" s="16">
        <v>15</v>
      </c>
      <c r="S9" s="9">
        <f t="shared" si="8"/>
        <v>0.26179938779914941</v>
      </c>
      <c r="T9" s="9">
        <f t="shared" si="9"/>
        <v>5.5560684412158121</v>
      </c>
      <c r="U9" s="9">
        <f t="shared" si="10"/>
        <v>5</v>
      </c>
      <c r="V9" s="9">
        <f t="shared" si="11"/>
        <v>8.7266462599716474E-2</v>
      </c>
      <c r="W9" s="9">
        <f t="shared" si="12"/>
        <v>1.8709723295639777</v>
      </c>
      <c r="X9" s="9" t="s">
        <v>79</v>
      </c>
      <c r="Y9" s="9">
        <f t="shared" si="13"/>
        <v>25</v>
      </c>
      <c r="Z9" s="9">
        <f t="shared" si="14"/>
        <v>0.43633231299858238</v>
      </c>
      <c r="AA9" s="9">
        <f t="shared" si="15"/>
        <v>9.0723462247875943</v>
      </c>
    </row>
    <row r="10" spans="1:27" x14ac:dyDescent="0.25">
      <c r="C10">
        <v>515</v>
      </c>
      <c r="D10" t="s">
        <v>14</v>
      </c>
      <c r="E10" t="s">
        <v>10</v>
      </c>
      <c r="F10">
        <v>7</v>
      </c>
      <c r="G10" s="19" t="s">
        <v>229</v>
      </c>
      <c r="H10">
        <v>-0.5</v>
      </c>
      <c r="I10" s="9">
        <f t="shared" si="0"/>
        <v>-8.7266462599716477E-3</v>
      </c>
      <c r="J10" s="9">
        <f t="shared" si="1"/>
        <v>0.18733253754359325</v>
      </c>
      <c r="K10" s="9">
        <f t="shared" si="2"/>
        <v>-10.5</v>
      </c>
      <c r="L10" s="9">
        <f t="shared" si="3"/>
        <v>-0.18325957145940461</v>
      </c>
      <c r="M10" s="9">
        <f t="shared" si="4"/>
        <v>3.9120500257399295</v>
      </c>
      <c r="N10" s="9" t="s">
        <v>226</v>
      </c>
      <c r="O10" s="9">
        <f t="shared" si="5"/>
        <v>9.5</v>
      </c>
      <c r="P10" s="9">
        <f t="shared" si="6"/>
        <v>0.16580627893946132</v>
      </c>
      <c r="Q10" s="9">
        <f t="shared" si="7"/>
        <v>3.5430769550111672</v>
      </c>
      <c r="R10" s="16">
        <v>0</v>
      </c>
      <c r="S10" s="9">
        <f t="shared" si="8"/>
        <v>0</v>
      </c>
      <c r="T10" s="9">
        <f t="shared" si="9"/>
        <v>0</v>
      </c>
      <c r="U10" s="9">
        <f t="shared" si="10"/>
        <v>0</v>
      </c>
      <c r="V10" s="9">
        <f t="shared" si="11"/>
        <v>0</v>
      </c>
      <c r="W10" s="9">
        <f t="shared" si="12"/>
        <v>0</v>
      </c>
      <c r="X10" s="9" t="s">
        <v>79</v>
      </c>
      <c r="Y10" s="9">
        <f t="shared" si="13"/>
        <v>0</v>
      </c>
      <c r="Z10" s="9">
        <f t="shared" si="14"/>
        <v>0</v>
      </c>
      <c r="AA10" s="9">
        <f t="shared" si="15"/>
        <v>0</v>
      </c>
    </row>
    <row r="11" spans="1:27" x14ac:dyDescent="0.25">
      <c r="C11">
        <v>534</v>
      </c>
      <c r="D11" t="s">
        <v>14</v>
      </c>
      <c r="E11" t="s">
        <v>11</v>
      </c>
      <c r="F11">
        <v>8</v>
      </c>
      <c r="G11" s="19" t="s">
        <v>228</v>
      </c>
      <c r="H11">
        <v>0</v>
      </c>
      <c r="I11" s="9">
        <f t="shared" si="0"/>
        <v>0</v>
      </c>
      <c r="J11" s="9">
        <f t="shared" si="1"/>
        <v>0</v>
      </c>
      <c r="K11" s="9">
        <f t="shared" si="2"/>
        <v>0</v>
      </c>
      <c r="L11" s="9">
        <f t="shared" si="3"/>
        <v>0</v>
      </c>
      <c r="M11" s="9">
        <f t="shared" si="4"/>
        <v>0</v>
      </c>
      <c r="N11" s="9" t="s">
        <v>226</v>
      </c>
      <c r="O11" s="9">
        <f t="shared" si="5"/>
        <v>0</v>
      </c>
      <c r="P11" s="9">
        <f t="shared" si="6"/>
        <v>0</v>
      </c>
      <c r="Q11" s="9">
        <f t="shared" si="7"/>
        <v>0</v>
      </c>
      <c r="R11" s="16">
        <v>0</v>
      </c>
      <c r="S11" s="9">
        <f t="shared" si="8"/>
        <v>0</v>
      </c>
      <c r="T11" s="9">
        <f t="shared" si="9"/>
        <v>0</v>
      </c>
      <c r="U11" s="9">
        <f t="shared" si="10"/>
        <v>-10</v>
      </c>
      <c r="V11" s="9">
        <f t="shared" si="11"/>
        <v>-0.17453292519943295</v>
      </c>
      <c r="W11" s="9">
        <f t="shared" si="12"/>
        <v>3.7277054299759933</v>
      </c>
      <c r="X11" s="9" t="s">
        <v>79</v>
      </c>
      <c r="Y11" s="9">
        <f t="shared" si="13"/>
        <v>10</v>
      </c>
      <c r="Z11" s="9">
        <f t="shared" si="14"/>
        <v>0.17453292519943295</v>
      </c>
      <c r="AA11" s="9">
        <f t="shared" si="15"/>
        <v>3.7277054299759933</v>
      </c>
    </row>
    <row r="12" spans="1:27" x14ac:dyDescent="0.25">
      <c r="C12">
        <v>510</v>
      </c>
      <c r="D12" t="s">
        <v>14</v>
      </c>
      <c r="E12" t="s">
        <v>12</v>
      </c>
      <c r="F12">
        <v>9</v>
      </c>
      <c r="G12" s="19" t="s">
        <v>228</v>
      </c>
      <c r="H12">
        <v>0</v>
      </c>
      <c r="I12" s="9">
        <f t="shared" si="0"/>
        <v>0</v>
      </c>
      <c r="J12" s="9">
        <f t="shared" si="1"/>
        <v>0</v>
      </c>
      <c r="K12" s="9">
        <f t="shared" si="2"/>
        <v>0</v>
      </c>
      <c r="L12" s="9">
        <f t="shared" si="3"/>
        <v>0</v>
      </c>
      <c r="M12" s="9">
        <f t="shared" si="4"/>
        <v>0</v>
      </c>
      <c r="N12" s="9" t="s">
        <v>226</v>
      </c>
      <c r="O12" s="9">
        <f t="shared" si="5"/>
        <v>0</v>
      </c>
      <c r="P12" s="9">
        <f t="shared" si="6"/>
        <v>0</v>
      </c>
      <c r="Q12" s="9">
        <f t="shared" si="7"/>
        <v>0</v>
      </c>
      <c r="R12" s="16">
        <v>-15</v>
      </c>
      <c r="S12" s="9">
        <f t="shared" si="8"/>
        <v>-0.26179938779914941</v>
      </c>
      <c r="T12" s="9">
        <f t="shared" si="9"/>
        <v>5.5560684412158121</v>
      </c>
      <c r="U12" s="9">
        <f t="shared" si="10"/>
        <v>-25</v>
      </c>
      <c r="V12" s="9">
        <f t="shared" si="11"/>
        <v>-0.43633231299858238</v>
      </c>
      <c r="W12" s="9">
        <f t="shared" si="12"/>
        <v>9.0723462247875943</v>
      </c>
      <c r="X12" s="9" t="s">
        <v>79</v>
      </c>
      <c r="Y12" s="9">
        <f t="shared" si="13"/>
        <v>-5</v>
      </c>
      <c r="Z12" s="9">
        <f t="shared" si="14"/>
        <v>-8.7266462599716474E-2</v>
      </c>
      <c r="AA12" s="9">
        <f t="shared" si="15"/>
        <v>1.8709723295639777</v>
      </c>
    </row>
    <row r="13" spans="1:27" x14ac:dyDescent="0.25">
      <c r="C13">
        <v>536</v>
      </c>
      <c r="D13" t="s">
        <v>14</v>
      </c>
      <c r="E13" t="s">
        <v>13</v>
      </c>
      <c r="F13">
        <v>10</v>
      </c>
      <c r="G13" s="19" t="s">
        <v>228</v>
      </c>
      <c r="H13">
        <v>0</v>
      </c>
      <c r="I13" s="9">
        <f t="shared" si="0"/>
        <v>0</v>
      </c>
      <c r="J13" s="9">
        <f t="shared" si="1"/>
        <v>0</v>
      </c>
      <c r="K13" s="9">
        <f t="shared" si="2"/>
        <v>0</v>
      </c>
      <c r="L13" s="9">
        <f t="shared" si="3"/>
        <v>0</v>
      </c>
      <c r="M13" s="9">
        <f t="shared" si="4"/>
        <v>0</v>
      </c>
      <c r="N13" s="9" t="s">
        <v>226</v>
      </c>
      <c r="O13" s="9">
        <f t="shared" si="5"/>
        <v>0</v>
      </c>
      <c r="P13" s="9">
        <f t="shared" si="6"/>
        <v>0</v>
      </c>
      <c r="Q13" s="9">
        <f t="shared" si="7"/>
        <v>0</v>
      </c>
      <c r="R13" s="16">
        <v>0</v>
      </c>
      <c r="S13" s="9">
        <f t="shared" si="8"/>
        <v>0</v>
      </c>
      <c r="T13" s="9">
        <f t="shared" si="9"/>
        <v>0</v>
      </c>
      <c r="U13" s="9">
        <f t="shared" si="10"/>
        <v>-10</v>
      </c>
      <c r="V13" s="9">
        <f t="shared" si="11"/>
        <v>-0.17453292519943295</v>
      </c>
      <c r="W13" s="9">
        <f t="shared" si="12"/>
        <v>3.7277054299759933</v>
      </c>
      <c r="X13" s="9" t="s">
        <v>79</v>
      </c>
      <c r="Y13" s="9">
        <f t="shared" si="13"/>
        <v>10</v>
      </c>
      <c r="Z13" s="9">
        <f t="shared" si="14"/>
        <v>0.17453292519943295</v>
      </c>
      <c r="AA13" s="9">
        <f t="shared" si="15"/>
        <v>3.7277054299759933</v>
      </c>
    </row>
    <row r="14" spans="1:27" x14ac:dyDescent="0.25">
      <c r="C14">
        <v>1969</v>
      </c>
      <c r="D14" t="s">
        <v>15</v>
      </c>
      <c r="E14" t="s">
        <v>16</v>
      </c>
      <c r="F14">
        <v>11</v>
      </c>
      <c r="G14" s="19" t="s">
        <v>229</v>
      </c>
      <c r="H14">
        <v>3</v>
      </c>
      <c r="I14" s="9">
        <f t="shared" si="0"/>
        <v>5.235987755982989E-2</v>
      </c>
      <c r="J14" s="9">
        <f t="shared" si="1"/>
        <v>1.1234959726672753</v>
      </c>
      <c r="K14" s="9">
        <f t="shared" si="2"/>
        <v>-7</v>
      </c>
      <c r="L14" s="9">
        <f t="shared" si="3"/>
        <v>-0.12217304763960307</v>
      </c>
      <c r="M14" s="9">
        <f t="shared" si="4"/>
        <v>2.6161691948783008</v>
      </c>
      <c r="N14" s="9" t="s">
        <v>226</v>
      </c>
      <c r="O14" s="9">
        <f t="shared" si="5"/>
        <v>13</v>
      </c>
      <c r="P14" s="9">
        <f t="shared" si="6"/>
        <v>0.22689280275926285</v>
      </c>
      <c r="Q14" s="9">
        <f t="shared" si="7"/>
        <v>4.8290242835997494</v>
      </c>
      <c r="R14" s="16">
        <v>0</v>
      </c>
      <c r="S14" s="9">
        <f t="shared" si="8"/>
        <v>0</v>
      </c>
      <c r="T14" s="9">
        <f t="shared" si="9"/>
        <v>0</v>
      </c>
      <c r="U14" s="9">
        <f t="shared" si="10"/>
        <v>0</v>
      </c>
      <c r="V14" s="9">
        <f t="shared" si="11"/>
        <v>0</v>
      </c>
      <c r="W14" s="9">
        <f t="shared" si="12"/>
        <v>0</v>
      </c>
      <c r="X14" s="9" t="s">
        <v>79</v>
      </c>
      <c r="Y14" s="9">
        <f t="shared" si="13"/>
        <v>0</v>
      </c>
      <c r="Z14" s="9">
        <f t="shared" si="14"/>
        <v>0</v>
      </c>
      <c r="AA14" s="9">
        <f t="shared" si="15"/>
        <v>0</v>
      </c>
    </row>
    <row r="15" spans="1:27" x14ac:dyDescent="0.25">
      <c r="C15">
        <v>1960</v>
      </c>
      <c r="D15" t="s">
        <v>15</v>
      </c>
      <c r="E15" t="s">
        <v>11</v>
      </c>
      <c r="F15">
        <v>12</v>
      </c>
      <c r="G15" s="19" t="s">
        <v>228</v>
      </c>
      <c r="H15">
        <v>0</v>
      </c>
      <c r="I15" s="9">
        <f t="shared" si="0"/>
        <v>0</v>
      </c>
      <c r="J15" s="9">
        <f t="shared" si="1"/>
        <v>0</v>
      </c>
      <c r="K15" s="9">
        <f t="shared" si="2"/>
        <v>0</v>
      </c>
      <c r="L15" s="9">
        <f t="shared" si="3"/>
        <v>0</v>
      </c>
      <c r="M15" s="9">
        <f t="shared" si="4"/>
        <v>0</v>
      </c>
      <c r="N15" s="9" t="s">
        <v>226</v>
      </c>
      <c r="O15" s="9">
        <f t="shared" si="5"/>
        <v>0</v>
      </c>
      <c r="P15" s="9">
        <f t="shared" si="6"/>
        <v>0</v>
      </c>
      <c r="Q15" s="9">
        <f t="shared" si="7"/>
        <v>0</v>
      </c>
      <c r="R15" s="16">
        <v>0</v>
      </c>
      <c r="S15" s="9">
        <f t="shared" si="8"/>
        <v>0</v>
      </c>
      <c r="T15" s="9">
        <f t="shared" si="9"/>
        <v>0</v>
      </c>
      <c r="U15" s="9">
        <f t="shared" si="10"/>
        <v>-10</v>
      </c>
      <c r="V15" s="9">
        <f t="shared" si="11"/>
        <v>-0.17453292519943295</v>
      </c>
      <c r="W15" s="9">
        <f t="shared" si="12"/>
        <v>3.7277054299759933</v>
      </c>
      <c r="X15" s="9" t="s">
        <v>79</v>
      </c>
      <c r="Y15" s="9">
        <f t="shared" si="13"/>
        <v>10</v>
      </c>
      <c r="Z15" s="9">
        <f t="shared" si="14"/>
        <v>0.17453292519943295</v>
      </c>
      <c r="AA15" s="9">
        <f t="shared" si="15"/>
        <v>3.7277054299759933</v>
      </c>
    </row>
    <row r="16" spans="1:27" x14ac:dyDescent="0.25">
      <c r="C16">
        <v>2431</v>
      </c>
      <c r="D16" t="s">
        <v>15</v>
      </c>
      <c r="E16" t="s">
        <v>350</v>
      </c>
      <c r="F16">
        <v>13</v>
      </c>
      <c r="G16" s="19" t="s">
        <v>229</v>
      </c>
      <c r="H16">
        <v>11.5</v>
      </c>
      <c r="I16" s="9">
        <f t="shared" si="0"/>
        <v>0.2007128639793479</v>
      </c>
      <c r="J16" s="9">
        <f t="shared" si="1"/>
        <v>4.2798314481339714</v>
      </c>
      <c r="K16" s="9">
        <f t="shared" si="2"/>
        <v>1.5</v>
      </c>
      <c r="L16" s="9">
        <f t="shared" si="3"/>
        <v>2.6179938779914945E-2</v>
      </c>
      <c r="M16" s="9">
        <f t="shared" si="4"/>
        <v>0.56194054932511295</v>
      </c>
      <c r="N16" s="9" t="s">
        <v>226</v>
      </c>
      <c r="O16" s="9">
        <f t="shared" si="5"/>
        <v>21.5</v>
      </c>
      <c r="P16" s="9">
        <f t="shared" si="6"/>
        <v>0.37524578917878088</v>
      </c>
      <c r="Q16" s="9">
        <f t="shared" si="7"/>
        <v>7.8676818340904902</v>
      </c>
      <c r="R16" s="16">
        <v>0</v>
      </c>
      <c r="S16" s="9">
        <f t="shared" si="8"/>
        <v>0</v>
      </c>
      <c r="T16" s="9">
        <f t="shared" si="9"/>
        <v>0</v>
      </c>
      <c r="U16" s="9">
        <f t="shared" si="10"/>
        <v>0</v>
      </c>
      <c r="V16" s="9">
        <f t="shared" si="11"/>
        <v>0</v>
      </c>
      <c r="W16" s="9">
        <f t="shared" si="12"/>
        <v>0</v>
      </c>
      <c r="X16" s="9" t="s">
        <v>79</v>
      </c>
      <c r="Y16" s="9">
        <f t="shared" si="13"/>
        <v>0</v>
      </c>
      <c r="Z16" s="9">
        <f t="shared" si="14"/>
        <v>0</v>
      </c>
      <c r="AA16" s="9">
        <f t="shared" si="15"/>
        <v>0</v>
      </c>
    </row>
    <row r="17" spans="3:27" x14ac:dyDescent="0.25">
      <c r="C17">
        <v>1966</v>
      </c>
      <c r="D17" t="s">
        <v>15</v>
      </c>
      <c r="E17" t="s">
        <v>351</v>
      </c>
      <c r="F17">
        <v>14</v>
      </c>
      <c r="G17" s="19" t="s">
        <v>229</v>
      </c>
      <c r="H17">
        <v>11.5</v>
      </c>
      <c r="I17" s="9">
        <f t="shared" si="0"/>
        <v>0.2007128639793479</v>
      </c>
      <c r="J17" s="9">
        <f t="shared" si="1"/>
        <v>4.2798314481339714</v>
      </c>
      <c r="K17" s="9">
        <f t="shared" si="2"/>
        <v>1.5</v>
      </c>
      <c r="L17" s="9">
        <f t="shared" si="3"/>
        <v>2.6179938779914945E-2</v>
      </c>
      <c r="M17" s="9">
        <f t="shared" si="4"/>
        <v>0.56194054932511295</v>
      </c>
      <c r="N17" s="9" t="s">
        <v>226</v>
      </c>
      <c r="O17" s="9">
        <f t="shared" si="5"/>
        <v>21.5</v>
      </c>
      <c r="P17" s="9">
        <f t="shared" si="6"/>
        <v>0.37524578917878088</v>
      </c>
      <c r="Q17" s="9">
        <f t="shared" si="7"/>
        <v>7.8676818340904902</v>
      </c>
      <c r="R17" s="16">
        <v>0</v>
      </c>
      <c r="S17" s="9">
        <f t="shared" si="8"/>
        <v>0</v>
      </c>
      <c r="T17" s="9">
        <f t="shared" si="9"/>
        <v>0</v>
      </c>
      <c r="U17" s="9">
        <f t="shared" si="10"/>
        <v>0</v>
      </c>
      <c r="V17" s="9">
        <f t="shared" si="11"/>
        <v>0</v>
      </c>
      <c r="W17" s="9">
        <f t="shared" si="12"/>
        <v>0</v>
      </c>
      <c r="X17" s="9" t="s">
        <v>79</v>
      </c>
      <c r="Y17" s="9">
        <f t="shared" si="13"/>
        <v>0</v>
      </c>
      <c r="Z17" s="9">
        <f t="shared" si="14"/>
        <v>0</v>
      </c>
      <c r="AA17" s="9">
        <f t="shared" si="15"/>
        <v>0</v>
      </c>
    </row>
    <row r="18" spans="3:27" x14ac:dyDescent="0.25">
      <c r="C18">
        <v>1961</v>
      </c>
      <c r="D18" t="s">
        <v>15</v>
      </c>
      <c r="E18" t="s">
        <v>13</v>
      </c>
      <c r="F18">
        <v>15</v>
      </c>
      <c r="G18" s="19" t="s">
        <v>228</v>
      </c>
      <c r="H18">
        <v>0</v>
      </c>
      <c r="I18" s="9">
        <f t="shared" si="0"/>
        <v>0</v>
      </c>
      <c r="J18" s="9">
        <f t="shared" si="1"/>
        <v>0</v>
      </c>
      <c r="K18" s="9">
        <f t="shared" si="2"/>
        <v>0</v>
      </c>
      <c r="L18" s="9">
        <f t="shared" si="3"/>
        <v>0</v>
      </c>
      <c r="M18" s="9">
        <f t="shared" si="4"/>
        <v>0</v>
      </c>
      <c r="N18" s="9" t="s">
        <v>226</v>
      </c>
      <c r="O18" s="9">
        <f t="shared" si="5"/>
        <v>0</v>
      </c>
      <c r="P18" s="9">
        <f t="shared" si="6"/>
        <v>0</v>
      </c>
      <c r="Q18" s="9">
        <f t="shared" si="7"/>
        <v>0</v>
      </c>
      <c r="R18" s="16">
        <v>0</v>
      </c>
      <c r="S18" s="9">
        <f t="shared" si="8"/>
        <v>0</v>
      </c>
      <c r="T18" s="9">
        <f t="shared" si="9"/>
        <v>0</v>
      </c>
      <c r="U18" s="9">
        <f t="shared" si="10"/>
        <v>-10</v>
      </c>
      <c r="V18" s="9">
        <f t="shared" si="11"/>
        <v>-0.17453292519943295</v>
      </c>
      <c r="W18" s="9">
        <f t="shared" si="12"/>
        <v>3.7277054299759933</v>
      </c>
      <c r="X18" s="9" t="s">
        <v>79</v>
      </c>
      <c r="Y18" s="9">
        <f t="shared" si="13"/>
        <v>10</v>
      </c>
      <c r="Z18" s="9">
        <f t="shared" si="14"/>
        <v>0.17453292519943295</v>
      </c>
      <c r="AA18" s="9">
        <f t="shared" si="15"/>
        <v>3.7277054299759933</v>
      </c>
    </row>
    <row r="19" spans="3:27" x14ac:dyDescent="0.25">
      <c r="C19">
        <v>2411</v>
      </c>
      <c r="D19" t="s">
        <v>15</v>
      </c>
      <c r="E19" t="s">
        <v>21</v>
      </c>
      <c r="F19">
        <v>16</v>
      </c>
      <c r="G19" s="19" t="s">
        <v>229</v>
      </c>
      <c r="H19">
        <v>11.5</v>
      </c>
      <c r="I19" s="9">
        <f t="shared" si="0"/>
        <v>0.2007128639793479</v>
      </c>
      <c r="J19" s="9">
        <f t="shared" si="1"/>
        <v>4.2798314481339714</v>
      </c>
      <c r="K19" s="9">
        <f t="shared" si="2"/>
        <v>1.5</v>
      </c>
      <c r="L19" s="9">
        <f t="shared" si="3"/>
        <v>2.6179938779914945E-2</v>
      </c>
      <c r="M19" s="9">
        <f t="shared" si="4"/>
        <v>0.56194054932511295</v>
      </c>
      <c r="N19" s="9" t="s">
        <v>226</v>
      </c>
      <c r="O19" s="9">
        <f t="shared" si="5"/>
        <v>21.5</v>
      </c>
      <c r="P19" s="9">
        <f t="shared" si="6"/>
        <v>0.37524578917878088</v>
      </c>
      <c r="Q19" s="9">
        <f t="shared" si="7"/>
        <v>7.8676818340904902</v>
      </c>
      <c r="R19" s="16">
        <v>10</v>
      </c>
      <c r="S19" s="9">
        <f t="shared" si="8"/>
        <v>0.17453292519943295</v>
      </c>
      <c r="T19" s="9">
        <f t="shared" si="9"/>
        <v>3.7277054299759933</v>
      </c>
      <c r="U19" s="9">
        <f t="shared" si="10"/>
        <v>10</v>
      </c>
      <c r="V19" s="9">
        <f t="shared" si="11"/>
        <v>0.17453292519943295</v>
      </c>
      <c r="W19" s="9">
        <f t="shared" si="12"/>
        <v>3.7277054299759933</v>
      </c>
      <c r="X19" s="9" t="s">
        <v>79</v>
      </c>
      <c r="Y19" s="9">
        <f t="shared" si="13"/>
        <v>10</v>
      </c>
      <c r="Z19" s="9">
        <f t="shared" si="14"/>
        <v>0.17453292519943295</v>
      </c>
      <c r="AA19" s="9">
        <f t="shared" si="15"/>
        <v>3.7277054299759933</v>
      </c>
    </row>
    <row r="20" spans="3:27" x14ac:dyDescent="0.25">
      <c r="C20">
        <v>2024</v>
      </c>
      <c r="D20" t="s">
        <v>17</v>
      </c>
      <c r="E20" t="s">
        <v>16</v>
      </c>
      <c r="F20">
        <v>17</v>
      </c>
      <c r="G20" s="19" t="s">
        <v>228</v>
      </c>
      <c r="H20">
        <v>0</v>
      </c>
      <c r="I20" s="9">
        <f t="shared" si="0"/>
        <v>0</v>
      </c>
      <c r="J20" s="9">
        <f t="shared" si="1"/>
        <v>0</v>
      </c>
      <c r="K20" s="9">
        <f t="shared" si="2"/>
        <v>0</v>
      </c>
      <c r="L20" s="9">
        <f t="shared" si="3"/>
        <v>0</v>
      </c>
      <c r="M20" s="9">
        <f t="shared" si="4"/>
        <v>0</v>
      </c>
      <c r="N20" s="9" t="s">
        <v>226</v>
      </c>
      <c r="O20" s="9">
        <f t="shared" si="5"/>
        <v>0</v>
      </c>
      <c r="P20" s="9">
        <f t="shared" si="6"/>
        <v>0</v>
      </c>
      <c r="Q20" s="9">
        <f t="shared" si="7"/>
        <v>0</v>
      </c>
      <c r="R20" s="16">
        <v>0</v>
      </c>
      <c r="S20" s="9">
        <f t="shared" si="8"/>
        <v>0</v>
      </c>
      <c r="T20" s="9">
        <f t="shared" si="9"/>
        <v>0</v>
      </c>
      <c r="U20" s="9">
        <f t="shared" si="10"/>
        <v>-10</v>
      </c>
      <c r="V20" s="9">
        <f t="shared" si="11"/>
        <v>-0.17453292519943295</v>
      </c>
      <c r="W20" s="9">
        <f t="shared" si="12"/>
        <v>3.7277054299759933</v>
      </c>
      <c r="X20" s="9" t="s">
        <v>79</v>
      </c>
      <c r="Y20" s="9">
        <f t="shared" si="13"/>
        <v>10</v>
      </c>
      <c r="Z20" s="9">
        <f t="shared" si="14"/>
        <v>0.17453292519943295</v>
      </c>
      <c r="AA20" s="9">
        <f t="shared" si="15"/>
        <v>3.7277054299759933</v>
      </c>
    </row>
    <row r="21" spans="3:27" x14ac:dyDescent="0.25">
      <c r="C21">
        <v>2014</v>
      </c>
      <c r="D21" t="s">
        <v>17</v>
      </c>
      <c r="E21" t="s">
        <v>11</v>
      </c>
      <c r="F21">
        <v>18</v>
      </c>
      <c r="G21" s="19" t="s">
        <v>228</v>
      </c>
      <c r="H21">
        <v>0</v>
      </c>
      <c r="I21" s="9">
        <f t="shared" si="0"/>
        <v>0</v>
      </c>
      <c r="J21" s="9">
        <f t="shared" si="1"/>
        <v>0</v>
      </c>
      <c r="K21" s="9">
        <f t="shared" si="2"/>
        <v>0</v>
      </c>
      <c r="L21" s="9">
        <f t="shared" si="3"/>
        <v>0</v>
      </c>
      <c r="M21" s="9">
        <f t="shared" si="4"/>
        <v>0</v>
      </c>
      <c r="N21" s="9" t="s">
        <v>226</v>
      </c>
      <c r="O21" s="9">
        <f t="shared" si="5"/>
        <v>0</v>
      </c>
      <c r="P21" s="9">
        <f t="shared" si="6"/>
        <v>0</v>
      </c>
      <c r="Q21" s="9">
        <f t="shared" si="7"/>
        <v>0</v>
      </c>
      <c r="R21" s="16">
        <v>0</v>
      </c>
      <c r="S21" s="9">
        <f t="shared" si="8"/>
        <v>0</v>
      </c>
      <c r="T21" s="9">
        <f t="shared" si="9"/>
        <v>0</v>
      </c>
      <c r="U21" s="9">
        <f t="shared" si="10"/>
        <v>-10</v>
      </c>
      <c r="V21" s="9">
        <f t="shared" si="11"/>
        <v>-0.17453292519943295</v>
      </c>
      <c r="W21" s="9">
        <f t="shared" si="12"/>
        <v>3.7277054299759933</v>
      </c>
      <c r="X21" s="9" t="s">
        <v>79</v>
      </c>
      <c r="Y21" s="9">
        <f t="shared" si="13"/>
        <v>10</v>
      </c>
      <c r="Z21" s="9">
        <f t="shared" si="14"/>
        <v>0.17453292519943295</v>
      </c>
      <c r="AA21" s="9">
        <f t="shared" si="15"/>
        <v>3.7277054299759933</v>
      </c>
    </row>
    <row r="22" spans="3:27" x14ac:dyDescent="0.25">
      <c r="C22">
        <v>2027</v>
      </c>
      <c r="D22" t="s">
        <v>17</v>
      </c>
      <c r="E22" t="s">
        <v>13</v>
      </c>
      <c r="F22">
        <v>19</v>
      </c>
      <c r="G22" s="19" t="s">
        <v>228</v>
      </c>
      <c r="H22">
        <v>0</v>
      </c>
      <c r="I22" s="9">
        <f t="shared" si="0"/>
        <v>0</v>
      </c>
      <c r="J22" s="9">
        <f t="shared" si="1"/>
        <v>0</v>
      </c>
      <c r="K22" s="9">
        <f t="shared" si="2"/>
        <v>0</v>
      </c>
      <c r="L22" s="9">
        <f t="shared" si="3"/>
        <v>0</v>
      </c>
      <c r="M22" s="9">
        <f t="shared" si="4"/>
        <v>0</v>
      </c>
      <c r="N22" s="9" t="s">
        <v>226</v>
      </c>
      <c r="O22" s="9">
        <f t="shared" si="5"/>
        <v>0</v>
      </c>
      <c r="P22" s="9">
        <f t="shared" si="6"/>
        <v>0</v>
      </c>
      <c r="Q22" s="9">
        <f t="shared" si="7"/>
        <v>0</v>
      </c>
      <c r="R22" s="16">
        <v>-10</v>
      </c>
      <c r="S22" s="9">
        <f t="shared" si="8"/>
        <v>-0.17453292519943295</v>
      </c>
      <c r="T22" s="9">
        <f t="shared" si="9"/>
        <v>3.7277054299759933</v>
      </c>
      <c r="U22" s="9">
        <f t="shared" si="10"/>
        <v>-20</v>
      </c>
      <c r="V22" s="9">
        <f t="shared" si="11"/>
        <v>-0.3490658503988659</v>
      </c>
      <c r="W22" s="9">
        <f t="shared" si="12"/>
        <v>7.3421464167721302</v>
      </c>
      <c r="X22" s="9" t="s">
        <v>79</v>
      </c>
      <c r="Y22" s="9">
        <f t="shared" si="13"/>
        <v>0</v>
      </c>
      <c r="Z22" s="9">
        <f t="shared" si="14"/>
        <v>0</v>
      </c>
      <c r="AA22" s="9">
        <f t="shared" si="15"/>
        <v>0</v>
      </c>
    </row>
    <row r="23" spans="3:27" x14ac:dyDescent="0.25">
      <c r="C23">
        <v>2080</v>
      </c>
      <c r="D23" t="s">
        <v>18</v>
      </c>
      <c r="E23" t="s">
        <v>16</v>
      </c>
      <c r="F23">
        <v>20</v>
      </c>
      <c r="G23" s="19" t="s">
        <v>228</v>
      </c>
      <c r="H23">
        <v>0</v>
      </c>
      <c r="I23" s="9">
        <f t="shared" si="0"/>
        <v>0</v>
      </c>
      <c r="J23" s="9">
        <f t="shared" si="1"/>
        <v>0</v>
      </c>
      <c r="K23" s="9">
        <f t="shared" si="2"/>
        <v>0</v>
      </c>
      <c r="L23" s="9">
        <f t="shared" si="3"/>
        <v>0</v>
      </c>
      <c r="M23" s="9">
        <f t="shared" si="4"/>
        <v>0</v>
      </c>
      <c r="N23" s="9" t="s">
        <v>226</v>
      </c>
      <c r="O23" s="9">
        <f t="shared" si="5"/>
        <v>0</v>
      </c>
      <c r="P23" s="9">
        <f t="shared" si="6"/>
        <v>0</v>
      </c>
      <c r="Q23" s="9">
        <f t="shared" si="7"/>
        <v>0</v>
      </c>
      <c r="R23" s="16">
        <v>0</v>
      </c>
      <c r="S23" s="9">
        <f t="shared" si="8"/>
        <v>0</v>
      </c>
      <c r="T23" s="9">
        <f t="shared" si="9"/>
        <v>0</v>
      </c>
      <c r="U23" s="9">
        <f t="shared" si="10"/>
        <v>-10</v>
      </c>
      <c r="V23" s="9">
        <f t="shared" si="11"/>
        <v>-0.17453292519943295</v>
      </c>
      <c r="W23" s="9">
        <f t="shared" si="12"/>
        <v>3.7277054299759933</v>
      </c>
      <c r="X23" s="9" t="s">
        <v>79</v>
      </c>
      <c r="Y23" s="9">
        <f t="shared" si="13"/>
        <v>10</v>
      </c>
      <c r="Z23" s="9">
        <f t="shared" si="14"/>
        <v>0.17453292519943295</v>
      </c>
      <c r="AA23" s="9">
        <f t="shared" si="15"/>
        <v>3.7277054299759933</v>
      </c>
    </row>
    <row r="24" spans="3:27" x14ac:dyDescent="0.25">
      <c r="C24">
        <v>2418</v>
      </c>
      <c r="D24" t="s">
        <v>18</v>
      </c>
      <c r="E24" t="s">
        <v>13</v>
      </c>
      <c r="F24">
        <v>21</v>
      </c>
      <c r="G24" s="19" t="s">
        <v>228</v>
      </c>
      <c r="H24">
        <v>0</v>
      </c>
      <c r="I24" s="9">
        <f t="shared" si="0"/>
        <v>0</v>
      </c>
      <c r="J24" s="9">
        <f t="shared" si="1"/>
        <v>0</v>
      </c>
      <c r="K24" s="9">
        <f t="shared" si="2"/>
        <v>0</v>
      </c>
      <c r="L24" s="9">
        <f t="shared" si="3"/>
        <v>0</v>
      </c>
      <c r="M24" s="9">
        <f t="shared" si="4"/>
        <v>0</v>
      </c>
      <c r="N24" s="9" t="s">
        <v>226</v>
      </c>
      <c r="O24" s="9">
        <f t="shared" si="5"/>
        <v>0</v>
      </c>
      <c r="P24" s="9">
        <f t="shared" si="6"/>
        <v>0</v>
      </c>
      <c r="Q24" s="9">
        <f t="shared" si="7"/>
        <v>0</v>
      </c>
      <c r="R24" s="16">
        <v>0</v>
      </c>
      <c r="S24" s="9">
        <f t="shared" si="8"/>
        <v>0</v>
      </c>
      <c r="T24" s="9">
        <f t="shared" si="9"/>
        <v>0</v>
      </c>
      <c r="U24" s="9">
        <f t="shared" si="10"/>
        <v>-10</v>
      </c>
      <c r="V24" s="9">
        <f t="shared" si="11"/>
        <v>-0.17453292519943295</v>
      </c>
      <c r="W24" s="9">
        <f t="shared" si="12"/>
        <v>3.7277054299759933</v>
      </c>
      <c r="X24" s="9" t="s">
        <v>79</v>
      </c>
      <c r="Y24" s="9">
        <f t="shared" si="13"/>
        <v>10</v>
      </c>
      <c r="Z24" s="9">
        <f t="shared" si="14"/>
        <v>0.17453292519943295</v>
      </c>
      <c r="AA24" s="9">
        <f t="shared" si="15"/>
        <v>3.7277054299759933</v>
      </c>
    </row>
    <row r="25" spans="3:27" x14ac:dyDescent="0.25">
      <c r="C25">
        <v>2093</v>
      </c>
      <c r="D25" t="s">
        <v>18</v>
      </c>
      <c r="E25" t="s">
        <v>11</v>
      </c>
      <c r="F25">
        <v>22</v>
      </c>
      <c r="G25" s="19" t="s">
        <v>228</v>
      </c>
      <c r="H25">
        <v>0</v>
      </c>
      <c r="I25" s="9">
        <f t="shared" si="0"/>
        <v>0</v>
      </c>
      <c r="J25" s="9">
        <f t="shared" si="1"/>
        <v>0</v>
      </c>
      <c r="K25" s="9">
        <f t="shared" si="2"/>
        <v>0</v>
      </c>
      <c r="L25" s="9">
        <f t="shared" si="3"/>
        <v>0</v>
      </c>
      <c r="M25" s="9">
        <f t="shared" si="4"/>
        <v>0</v>
      </c>
      <c r="N25" s="9" t="s">
        <v>226</v>
      </c>
      <c r="O25" s="9">
        <f t="shared" si="5"/>
        <v>0</v>
      </c>
      <c r="P25" s="9">
        <f t="shared" si="6"/>
        <v>0</v>
      </c>
      <c r="Q25" s="9">
        <f t="shared" si="7"/>
        <v>0</v>
      </c>
      <c r="R25" s="16">
        <v>0</v>
      </c>
      <c r="S25" s="9">
        <f t="shared" si="8"/>
        <v>0</v>
      </c>
      <c r="T25" s="9">
        <f t="shared" si="9"/>
        <v>0</v>
      </c>
      <c r="U25" s="9">
        <f t="shared" si="10"/>
        <v>-10</v>
      </c>
      <c r="V25" s="9">
        <f t="shared" si="11"/>
        <v>-0.17453292519943295</v>
      </c>
      <c r="W25" s="9">
        <f t="shared" si="12"/>
        <v>3.7277054299759933</v>
      </c>
      <c r="X25" s="9" t="s">
        <v>79</v>
      </c>
      <c r="Y25" s="9">
        <f t="shared" si="13"/>
        <v>10</v>
      </c>
      <c r="Z25" s="9">
        <f t="shared" si="14"/>
        <v>0.17453292519943295</v>
      </c>
      <c r="AA25" s="9">
        <f t="shared" si="15"/>
        <v>3.7277054299759933</v>
      </c>
    </row>
    <row r="26" spans="3:27" x14ac:dyDescent="0.25">
      <c r="C26">
        <v>2233</v>
      </c>
      <c r="D26" t="s">
        <v>19</v>
      </c>
      <c r="E26" t="s">
        <v>20</v>
      </c>
      <c r="F26">
        <v>23</v>
      </c>
      <c r="G26" s="19" t="s">
        <v>229</v>
      </c>
      <c r="H26">
        <v>5</v>
      </c>
      <c r="I26" s="9">
        <f t="shared" si="0"/>
        <v>8.7266462599716474E-2</v>
      </c>
      <c r="J26" s="9">
        <f t="shared" si="1"/>
        <v>1.8709723295639777</v>
      </c>
      <c r="K26" s="9">
        <f t="shared" si="2"/>
        <v>-5</v>
      </c>
      <c r="L26" s="9">
        <f t="shared" si="3"/>
        <v>-8.7266462599716474E-2</v>
      </c>
      <c r="M26" s="9">
        <f t="shared" si="4"/>
        <v>1.8709723295639777</v>
      </c>
      <c r="N26" s="9" t="s">
        <v>226</v>
      </c>
      <c r="O26" s="9">
        <f t="shared" si="5"/>
        <v>15</v>
      </c>
      <c r="P26" s="9">
        <f t="shared" si="6"/>
        <v>0.26179938779914941</v>
      </c>
      <c r="Q26" s="9">
        <f t="shared" si="7"/>
        <v>5.5560684412158121</v>
      </c>
      <c r="R26" s="16">
        <v>0</v>
      </c>
      <c r="S26" s="9">
        <f t="shared" si="8"/>
        <v>0</v>
      </c>
      <c r="T26" s="9">
        <f t="shared" si="9"/>
        <v>0</v>
      </c>
      <c r="U26" s="9">
        <f t="shared" si="10"/>
        <v>0</v>
      </c>
      <c r="V26" s="9">
        <f t="shared" si="11"/>
        <v>0</v>
      </c>
      <c r="W26" s="9">
        <f t="shared" si="12"/>
        <v>0</v>
      </c>
      <c r="X26" s="9" t="s">
        <v>79</v>
      </c>
      <c r="Y26" s="9">
        <f t="shared" si="13"/>
        <v>0</v>
      </c>
      <c r="Z26" s="9">
        <f t="shared" si="14"/>
        <v>0</v>
      </c>
      <c r="AA26" s="9">
        <f t="shared" si="15"/>
        <v>0</v>
      </c>
    </row>
    <row r="27" spans="3:27" x14ac:dyDescent="0.25">
      <c r="C27">
        <v>2224</v>
      </c>
      <c r="D27" t="s">
        <v>19</v>
      </c>
      <c r="E27" t="s">
        <v>21</v>
      </c>
      <c r="F27">
        <v>24</v>
      </c>
      <c r="G27" s="19" t="s">
        <v>229</v>
      </c>
      <c r="H27">
        <v>5</v>
      </c>
      <c r="I27" s="9">
        <f t="shared" si="0"/>
        <v>8.7266462599716474E-2</v>
      </c>
      <c r="J27" s="9">
        <f t="shared" si="1"/>
        <v>1.8709723295639777</v>
      </c>
      <c r="K27" s="9">
        <f t="shared" si="2"/>
        <v>-5</v>
      </c>
      <c r="L27" s="9">
        <f t="shared" si="3"/>
        <v>-8.7266462599716474E-2</v>
      </c>
      <c r="M27" s="9">
        <f t="shared" si="4"/>
        <v>1.8709723295639777</v>
      </c>
      <c r="N27" s="9" t="s">
        <v>226</v>
      </c>
      <c r="O27" s="9">
        <f t="shared" si="5"/>
        <v>15</v>
      </c>
      <c r="P27" s="9">
        <f t="shared" si="6"/>
        <v>0.26179938779914941</v>
      </c>
      <c r="Q27" s="9">
        <f t="shared" si="7"/>
        <v>5.5560684412158121</v>
      </c>
      <c r="R27" s="16">
        <v>0</v>
      </c>
      <c r="S27" s="9">
        <f t="shared" si="8"/>
        <v>0</v>
      </c>
      <c r="T27" s="9">
        <f t="shared" si="9"/>
        <v>0</v>
      </c>
      <c r="U27" s="9">
        <f t="shared" si="10"/>
        <v>0</v>
      </c>
      <c r="V27" s="9">
        <f t="shared" si="11"/>
        <v>0</v>
      </c>
      <c r="W27" s="9">
        <f t="shared" si="12"/>
        <v>0</v>
      </c>
      <c r="X27" s="9" t="s">
        <v>79</v>
      </c>
      <c r="Y27" s="9">
        <f t="shared" si="13"/>
        <v>0</v>
      </c>
      <c r="Z27" s="9">
        <f t="shared" si="14"/>
        <v>0</v>
      </c>
      <c r="AA27" s="9">
        <f t="shared" si="15"/>
        <v>0</v>
      </c>
    </row>
    <row r="28" spans="3:27" x14ac:dyDescent="0.25">
      <c r="C28">
        <v>2229</v>
      </c>
      <c r="D28" t="s">
        <v>19</v>
      </c>
      <c r="E28" t="s">
        <v>16</v>
      </c>
      <c r="F28">
        <v>25</v>
      </c>
      <c r="G28" s="19" t="s">
        <v>229</v>
      </c>
      <c r="H28">
        <v>15</v>
      </c>
      <c r="I28" s="9">
        <f t="shared" si="0"/>
        <v>0.26179938779914941</v>
      </c>
      <c r="J28" s="9">
        <f t="shared" si="1"/>
        <v>5.5560684412158121</v>
      </c>
      <c r="K28" s="9">
        <f t="shared" si="2"/>
        <v>5</v>
      </c>
      <c r="L28" s="9">
        <f t="shared" si="3"/>
        <v>8.7266462599716474E-2</v>
      </c>
      <c r="M28" s="9">
        <f t="shared" si="4"/>
        <v>1.8709723295639777</v>
      </c>
      <c r="N28" s="9" t="s">
        <v>226</v>
      </c>
      <c r="O28" s="9">
        <f t="shared" si="5"/>
        <v>25</v>
      </c>
      <c r="P28" s="9">
        <f t="shared" si="6"/>
        <v>0.43633231299858238</v>
      </c>
      <c r="Q28" s="9">
        <f t="shared" si="7"/>
        <v>9.0723462247875943</v>
      </c>
      <c r="R28" s="24">
        <v>13.5</v>
      </c>
      <c r="S28" s="9">
        <f t="shared" si="8"/>
        <v>0.23561944901923448</v>
      </c>
      <c r="T28" s="9">
        <f t="shared" si="9"/>
        <v>5.0113716258947205</v>
      </c>
      <c r="U28" s="9">
        <f t="shared" si="10"/>
        <v>13.5</v>
      </c>
      <c r="V28" s="9">
        <f t="shared" si="11"/>
        <v>0.23561944901923448</v>
      </c>
      <c r="W28" s="9">
        <f t="shared" si="12"/>
        <v>5.0113716258947205</v>
      </c>
      <c r="X28" s="9" t="s">
        <v>79</v>
      </c>
      <c r="Y28" s="9">
        <f t="shared" si="13"/>
        <v>13.5</v>
      </c>
      <c r="Z28" s="9">
        <f t="shared" si="14"/>
        <v>0.23561944901923448</v>
      </c>
      <c r="AA28" s="9">
        <f t="shared" si="15"/>
        <v>5.0113716258947205</v>
      </c>
    </row>
    <row r="29" spans="3:27" x14ac:dyDescent="0.25">
      <c r="C29">
        <v>2130</v>
      </c>
      <c r="D29" t="s">
        <v>22</v>
      </c>
      <c r="E29" t="s">
        <v>11</v>
      </c>
      <c r="F29">
        <v>26</v>
      </c>
      <c r="G29" s="19" t="s">
        <v>228</v>
      </c>
      <c r="H29">
        <v>0</v>
      </c>
      <c r="I29" s="9">
        <f t="shared" si="0"/>
        <v>0</v>
      </c>
      <c r="J29" s="9">
        <f t="shared" si="1"/>
        <v>0</v>
      </c>
      <c r="K29" s="9">
        <f t="shared" si="2"/>
        <v>0</v>
      </c>
      <c r="L29" s="9">
        <f t="shared" si="3"/>
        <v>0</v>
      </c>
      <c r="M29" s="9">
        <f t="shared" si="4"/>
        <v>0</v>
      </c>
      <c r="N29" s="9" t="s">
        <v>226</v>
      </c>
      <c r="O29" s="9">
        <f t="shared" si="5"/>
        <v>0</v>
      </c>
      <c r="P29" s="9">
        <f t="shared" si="6"/>
        <v>0</v>
      </c>
      <c r="Q29" s="9">
        <f t="shared" si="7"/>
        <v>0</v>
      </c>
      <c r="R29" s="24">
        <v>0</v>
      </c>
      <c r="S29" s="9">
        <f t="shared" si="8"/>
        <v>0</v>
      </c>
      <c r="T29" s="9">
        <f t="shared" si="9"/>
        <v>0</v>
      </c>
      <c r="U29" s="9">
        <f t="shared" si="10"/>
        <v>-10</v>
      </c>
      <c r="V29" s="9">
        <f t="shared" si="11"/>
        <v>-0.17453292519943295</v>
      </c>
      <c r="W29" s="9">
        <f t="shared" si="12"/>
        <v>3.7277054299759933</v>
      </c>
      <c r="X29" s="9" t="s">
        <v>79</v>
      </c>
      <c r="Y29" s="9">
        <f t="shared" si="13"/>
        <v>10</v>
      </c>
      <c r="Z29" s="9">
        <f t="shared" si="14"/>
        <v>0.17453292519943295</v>
      </c>
      <c r="AA29" s="9">
        <f t="shared" si="15"/>
        <v>3.7277054299759933</v>
      </c>
    </row>
    <row r="30" spans="3:27" x14ac:dyDescent="0.25">
      <c r="C30">
        <v>2128</v>
      </c>
      <c r="D30" t="s">
        <v>22</v>
      </c>
      <c r="E30" t="s">
        <v>13</v>
      </c>
      <c r="F30">
        <v>27</v>
      </c>
      <c r="G30" s="19" t="s">
        <v>228</v>
      </c>
      <c r="H30">
        <v>0</v>
      </c>
      <c r="I30" s="9">
        <f t="shared" si="0"/>
        <v>0</v>
      </c>
      <c r="J30" s="9">
        <f t="shared" si="1"/>
        <v>0</v>
      </c>
      <c r="K30" s="9">
        <f t="shared" si="2"/>
        <v>0</v>
      </c>
      <c r="L30" s="9">
        <f t="shared" si="3"/>
        <v>0</v>
      </c>
      <c r="M30" s="9">
        <f t="shared" si="4"/>
        <v>0</v>
      </c>
      <c r="N30" s="9" t="s">
        <v>226</v>
      </c>
      <c r="O30" s="9">
        <f t="shared" si="5"/>
        <v>0</v>
      </c>
      <c r="P30" s="9">
        <f t="shared" si="6"/>
        <v>0</v>
      </c>
      <c r="Q30" s="9">
        <f t="shared" si="7"/>
        <v>0</v>
      </c>
      <c r="R30" s="24">
        <v>-13.5</v>
      </c>
      <c r="S30" s="9">
        <f t="shared" si="8"/>
        <v>-0.23561944901923448</v>
      </c>
      <c r="T30" s="9">
        <f t="shared" si="9"/>
        <v>5.0113716258947205</v>
      </c>
      <c r="U30" s="9">
        <f t="shared" si="10"/>
        <v>-23.5</v>
      </c>
      <c r="V30" s="9">
        <f t="shared" si="11"/>
        <v>-0.41015237421866746</v>
      </c>
      <c r="W30" s="9">
        <f t="shared" si="12"/>
        <v>8.5599462626182596</v>
      </c>
      <c r="X30" s="9" t="s">
        <v>79</v>
      </c>
      <c r="Y30" s="9">
        <f t="shared" si="13"/>
        <v>-3.5</v>
      </c>
      <c r="Z30" s="9">
        <f t="shared" si="14"/>
        <v>-6.1086523819801536E-2</v>
      </c>
      <c r="AA30" s="9">
        <f t="shared" si="15"/>
        <v>1.3105289981947723</v>
      </c>
    </row>
    <row r="31" spans="3:27" x14ac:dyDescent="0.25">
      <c r="C31">
        <v>2175</v>
      </c>
      <c r="D31" t="s">
        <v>23</v>
      </c>
      <c r="E31" t="s">
        <v>13</v>
      </c>
      <c r="F31">
        <v>28</v>
      </c>
      <c r="G31" s="19" t="s">
        <v>228</v>
      </c>
      <c r="H31">
        <v>0</v>
      </c>
      <c r="I31" s="9">
        <f t="shared" si="0"/>
        <v>0</v>
      </c>
      <c r="J31" s="9">
        <f t="shared" si="1"/>
        <v>0</v>
      </c>
      <c r="K31" s="9">
        <f t="shared" si="2"/>
        <v>0</v>
      </c>
      <c r="L31" s="9">
        <f t="shared" si="3"/>
        <v>0</v>
      </c>
      <c r="M31" s="9">
        <f t="shared" si="4"/>
        <v>0</v>
      </c>
      <c r="N31" s="9" t="s">
        <v>226</v>
      </c>
      <c r="O31" s="9">
        <f t="shared" si="5"/>
        <v>0</v>
      </c>
      <c r="P31" s="9">
        <f t="shared" si="6"/>
        <v>0</v>
      </c>
      <c r="Q31" s="9">
        <f t="shared" si="7"/>
        <v>0</v>
      </c>
      <c r="R31" s="24">
        <v>0</v>
      </c>
      <c r="S31" s="9">
        <f t="shared" si="8"/>
        <v>0</v>
      </c>
      <c r="T31" s="9">
        <f t="shared" si="9"/>
        <v>0</v>
      </c>
      <c r="U31" s="9">
        <f t="shared" si="10"/>
        <v>-10</v>
      </c>
      <c r="V31" s="9">
        <f t="shared" si="11"/>
        <v>-0.17453292519943295</v>
      </c>
      <c r="W31" s="9">
        <f t="shared" si="12"/>
        <v>3.7277054299759933</v>
      </c>
      <c r="X31" s="9" t="s">
        <v>79</v>
      </c>
      <c r="Y31" s="9">
        <f t="shared" si="13"/>
        <v>10</v>
      </c>
      <c r="Z31" s="9">
        <f t="shared" si="14"/>
        <v>0.17453292519943295</v>
      </c>
      <c r="AA31" s="9">
        <f t="shared" si="15"/>
        <v>3.7277054299759933</v>
      </c>
    </row>
    <row r="32" spans="3:27" x14ac:dyDescent="0.25">
      <c r="C32">
        <v>2171</v>
      </c>
      <c r="D32" t="s">
        <v>23</v>
      </c>
      <c r="E32" t="s">
        <v>11</v>
      </c>
      <c r="F32">
        <v>29</v>
      </c>
      <c r="G32" s="19" t="s">
        <v>228</v>
      </c>
      <c r="H32">
        <v>0</v>
      </c>
      <c r="I32" s="9">
        <f t="shared" si="0"/>
        <v>0</v>
      </c>
      <c r="J32" s="9">
        <f t="shared" si="1"/>
        <v>0</v>
      </c>
      <c r="K32" s="9">
        <f t="shared" si="2"/>
        <v>0</v>
      </c>
      <c r="L32" s="9">
        <f t="shared" si="3"/>
        <v>0</v>
      </c>
      <c r="M32" s="9">
        <f t="shared" si="4"/>
        <v>0</v>
      </c>
      <c r="N32" s="9" t="s">
        <v>226</v>
      </c>
      <c r="O32" s="9">
        <f t="shared" si="5"/>
        <v>0</v>
      </c>
      <c r="P32" s="9">
        <f t="shared" si="6"/>
        <v>0</v>
      </c>
      <c r="Q32" s="9">
        <f t="shared" si="7"/>
        <v>0</v>
      </c>
      <c r="R32" s="15">
        <v>0</v>
      </c>
      <c r="S32" s="9">
        <f t="shared" si="8"/>
        <v>0</v>
      </c>
      <c r="T32" s="9">
        <f t="shared" si="9"/>
        <v>0</v>
      </c>
      <c r="U32" s="9">
        <f t="shared" si="10"/>
        <v>-10</v>
      </c>
      <c r="V32" s="9">
        <f t="shared" si="11"/>
        <v>-0.17453292519943295</v>
      </c>
      <c r="W32" s="9">
        <f t="shared" si="12"/>
        <v>3.7277054299759933</v>
      </c>
      <c r="X32" s="9" t="s">
        <v>79</v>
      </c>
      <c r="Y32" s="9">
        <f t="shared" si="13"/>
        <v>10</v>
      </c>
      <c r="Z32" s="9">
        <f t="shared" si="14"/>
        <v>0.17453292519943295</v>
      </c>
      <c r="AA32" s="9">
        <f t="shared" si="15"/>
        <v>3.7277054299759933</v>
      </c>
    </row>
    <row r="33" spans="3:27" x14ac:dyDescent="0.25">
      <c r="C33">
        <v>1021</v>
      </c>
      <c r="D33" t="s">
        <v>29</v>
      </c>
      <c r="E33" t="s">
        <v>16</v>
      </c>
      <c r="F33">
        <v>30</v>
      </c>
      <c r="G33" s="19" t="s">
        <v>229</v>
      </c>
      <c r="H33">
        <v>15</v>
      </c>
      <c r="I33" s="9">
        <f t="shared" si="0"/>
        <v>0.26179938779914941</v>
      </c>
      <c r="J33" s="9">
        <f t="shared" si="1"/>
        <v>5.5560684412158121</v>
      </c>
      <c r="K33" s="9">
        <f t="shared" si="2"/>
        <v>5</v>
      </c>
      <c r="L33" s="9">
        <f t="shared" si="3"/>
        <v>8.7266462599716474E-2</v>
      </c>
      <c r="M33" s="9">
        <f t="shared" si="4"/>
        <v>1.8709723295639777</v>
      </c>
      <c r="N33" s="9" t="s">
        <v>226</v>
      </c>
      <c r="O33" s="9">
        <f t="shared" si="5"/>
        <v>25</v>
      </c>
      <c r="P33" s="9">
        <f t="shared" si="6"/>
        <v>0.43633231299858238</v>
      </c>
      <c r="Q33" s="9">
        <f t="shared" si="7"/>
        <v>9.0723462247875943</v>
      </c>
      <c r="R33" s="15">
        <v>0</v>
      </c>
      <c r="S33" s="9">
        <f t="shared" si="8"/>
        <v>0</v>
      </c>
      <c r="T33" s="9">
        <f t="shared" si="9"/>
        <v>0</v>
      </c>
      <c r="U33" s="9">
        <f t="shared" si="10"/>
        <v>0</v>
      </c>
      <c r="V33" s="9">
        <f t="shared" si="11"/>
        <v>0</v>
      </c>
      <c r="W33" s="9">
        <f t="shared" si="12"/>
        <v>0</v>
      </c>
      <c r="X33" s="9" t="s">
        <v>79</v>
      </c>
      <c r="Y33" s="9">
        <f t="shared" si="13"/>
        <v>0</v>
      </c>
      <c r="Z33" s="9">
        <f t="shared" si="14"/>
        <v>0</v>
      </c>
      <c r="AA33" s="9">
        <f t="shared" si="15"/>
        <v>0</v>
      </c>
    </row>
    <row r="34" spans="3:27" x14ac:dyDescent="0.25">
      <c r="C34">
        <v>1072</v>
      </c>
      <c r="D34" t="s">
        <v>29</v>
      </c>
      <c r="E34" t="s">
        <v>21</v>
      </c>
      <c r="F34">
        <v>31</v>
      </c>
      <c r="G34" s="19" t="s">
        <v>229</v>
      </c>
      <c r="H34">
        <v>4.2</v>
      </c>
      <c r="I34" s="9">
        <f t="shared" si="0"/>
        <v>7.3303828583761846E-2</v>
      </c>
      <c r="J34" s="9">
        <f t="shared" si="1"/>
        <v>1.5722043777388695</v>
      </c>
      <c r="K34" s="9">
        <f t="shared" si="2"/>
        <v>-5.8</v>
      </c>
      <c r="L34" s="9">
        <f t="shared" si="3"/>
        <v>-0.10122909661567112</v>
      </c>
      <c r="M34" s="9">
        <f t="shared" si="4"/>
        <v>2.1693755316263088</v>
      </c>
      <c r="N34" s="9" t="s">
        <v>226</v>
      </c>
      <c r="O34" s="9">
        <f t="shared" si="5"/>
        <v>14.2</v>
      </c>
      <c r="P34" s="9">
        <f t="shared" si="6"/>
        <v>0.24783675378319478</v>
      </c>
      <c r="Q34" s="9">
        <f t="shared" si="7"/>
        <v>5.2660136526602539</v>
      </c>
      <c r="R34" s="15">
        <v>0</v>
      </c>
      <c r="S34" s="9">
        <f t="shared" si="8"/>
        <v>0</v>
      </c>
      <c r="T34" s="9">
        <f t="shared" si="9"/>
        <v>0</v>
      </c>
      <c r="U34" s="9">
        <f t="shared" si="10"/>
        <v>0</v>
      </c>
      <c r="V34" s="9">
        <f t="shared" si="11"/>
        <v>0</v>
      </c>
      <c r="W34" s="9">
        <f t="shared" si="12"/>
        <v>0</v>
      </c>
      <c r="X34" s="9" t="s">
        <v>79</v>
      </c>
      <c r="Y34" s="9">
        <f t="shared" si="13"/>
        <v>0</v>
      </c>
      <c r="Z34" s="9">
        <f t="shared" si="14"/>
        <v>0</v>
      </c>
      <c r="AA34" s="9">
        <f t="shared" si="15"/>
        <v>0</v>
      </c>
    </row>
    <row r="35" spans="3:27" x14ac:dyDescent="0.25">
      <c r="C35">
        <v>1176</v>
      </c>
      <c r="D35" t="s">
        <v>30</v>
      </c>
      <c r="E35" t="s">
        <v>20</v>
      </c>
      <c r="F35">
        <v>32</v>
      </c>
      <c r="G35" s="19" t="s">
        <v>229</v>
      </c>
      <c r="H35">
        <v>7.2</v>
      </c>
      <c r="I35" s="9">
        <f t="shared" si="0"/>
        <v>0.12566370614359174</v>
      </c>
      <c r="J35" s="9">
        <f t="shared" si="1"/>
        <v>2.6905285249249196</v>
      </c>
      <c r="K35" s="9">
        <f t="shared" si="2"/>
        <v>-2.8</v>
      </c>
      <c r="L35" s="9">
        <f t="shared" si="3"/>
        <v>-4.8869219055841226E-2</v>
      </c>
      <c r="M35" s="9">
        <f t="shared" si="4"/>
        <v>1.0486580082024297</v>
      </c>
      <c r="N35" s="9" t="s">
        <v>226</v>
      </c>
      <c r="O35" s="9">
        <f t="shared" si="5"/>
        <v>17.2</v>
      </c>
      <c r="P35" s="9">
        <f t="shared" si="6"/>
        <v>0.30019663134302466</v>
      </c>
      <c r="Q35" s="9">
        <f t="shared" si="7"/>
        <v>6.3479647102955488</v>
      </c>
      <c r="R35" s="16">
        <v>0</v>
      </c>
      <c r="S35" s="9">
        <f t="shared" si="8"/>
        <v>0</v>
      </c>
      <c r="T35" s="9">
        <f t="shared" si="9"/>
        <v>0</v>
      </c>
      <c r="U35" s="9">
        <f t="shared" si="10"/>
        <v>0</v>
      </c>
      <c r="V35" s="9">
        <f t="shared" si="11"/>
        <v>0</v>
      </c>
      <c r="W35" s="9">
        <f t="shared" si="12"/>
        <v>0</v>
      </c>
      <c r="X35" s="9" t="s">
        <v>79</v>
      </c>
      <c r="Y35" s="9">
        <f t="shared" si="13"/>
        <v>0</v>
      </c>
      <c r="Z35" s="9">
        <f t="shared" si="14"/>
        <v>0</v>
      </c>
      <c r="AA35" s="9">
        <f t="shared" si="15"/>
        <v>0</v>
      </c>
    </row>
    <row r="36" spans="3:27" x14ac:dyDescent="0.25">
      <c r="C36">
        <v>1175</v>
      </c>
      <c r="D36" t="s">
        <v>30</v>
      </c>
      <c r="E36" t="s">
        <v>16</v>
      </c>
      <c r="F36">
        <v>33</v>
      </c>
      <c r="G36" s="19" t="s">
        <v>229</v>
      </c>
      <c r="H36">
        <v>13.5</v>
      </c>
      <c r="I36" s="9">
        <f t="shared" si="0"/>
        <v>0.23561944901923448</v>
      </c>
      <c r="J36" s="9">
        <f t="shared" si="1"/>
        <v>5.0113716258947205</v>
      </c>
      <c r="K36" s="9">
        <f t="shared" si="2"/>
        <v>3.5</v>
      </c>
      <c r="L36" s="9">
        <f t="shared" si="3"/>
        <v>6.1086523819801536E-2</v>
      </c>
      <c r="M36" s="9">
        <f t="shared" si="4"/>
        <v>1.3105289981947723</v>
      </c>
      <c r="N36" s="9" t="s">
        <v>226</v>
      </c>
      <c r="O36" s="9">
        <f t="shared" si="5"/>
        <v>23.5</v>
      </c>
      <c r="P36" s="9">
        <f t="shared" si="6"/>
        <v>0.41015237421866746</v>
      </c>
      <c r="Q36" s="9">
        <f t="shared" si="7"/>
        <v>8.5599462626182596</v>
      </c>
      <c r="R36" s="16">
        <v>0</v>
      </c>
      <c r="S36" s="9">
        <f t="shared" si="8"/>
        <v>0</v>
      </c>
      <c r="T36" s="9">
        <f t="shared" si="9"/>
        <v>0</v>
      </c>
      <c r="U36" s="9">
        <f t="shared" si="10"/>
        <v>0</v>
      </c>
      <c r="V36" s="9">
        <f t="shared" si="11"/>
        <v>0</v>
      </c>
      <c r="W36" s="9">
        <f t="shared" si="12"/>
        <v>0</v>
      </c>
      <c r="X36" s="9" t="s">
        <v>79</v>
      </c>
      <c r="Y36" s="9">
        <f t="shared" si="13"/>
        <v>0</v>
      </c>
      <c r="Z36" s="9">
        <f t="shared" si="14"/>
        <v>0</v>
      </c>
      <c r="AA36" s="9">
        <f t="shared" si="15"/>
        <v>0</v>
      </c>
    </row>
    <row r="37" spans="3:27" x14ac:dyDescent="0.25">
      <c r="C37">
        <v>1174</v>
      </c>
      <c r="D37" t="s">
        <v>30</v>
      </c>
      <c r="E37" t="s">
        <v>21</v>
      </c>
      <c r="F37">
        <v>34</v>
      </c>
      <c r="G37" s="19" t="s">
        <v>229</v>
      </c>
      <c r="H37">
        <v>8.4</v>
      </c>
      <c r="I37" s="9">
        <f t="shared" si="0"/>
        <v>0.14660765716752369</v>
      </c>
      <c r="J37" s="9">
        <f t="shared" si="1"/>
        <v>3.1359643741492902</v>
      </c>
      <c r="K37" s="9">
        <f t="shared" si="2"/>
        <v>-1.5999999999999996</v>
      </c>
      <c r="L37" s="9">
        <f t="shared" si="3"/>
        <v>-2.7925268031909267E-2</v>
      </c>
      <c r="M37" s="9">
        <f t="shared" si="4"/>
        <v>0.59939381847885298</v>
      </c>
      <c r="N37" s="9" t="s">
        <v>226</v>
      </c>
      <c r="O37" s="9">
        <f t="shared" si="5"/>
        <v>18.399999999999999</v>
      </c>
      <c r="P37" s="9">
        <f t="shared" si="6"/>
        <v>0.32114058236695664</v>
      </c>
      <c r="Q37" s="9">
        <f t="shared" si="7"/>
        <v>6.7760378761434481</v>
      </c>
      <c r="R37" s="16">
        <v>0</v>
      </c>
      <c r="S37" s="9">
        <f t="shared" si="8"/>
        <v>0</v>
      </c>
      <c r="T37" s="9">
        <f t="shared" si="9"/>
        <v>0</v>
      </c>
      <c r="U37" s="9">
        <f t="shared" si="10"/>
        <v>0</v>
      </c>
      <c r="V37" s="9">
        <f t="shared" si="11"/>
        <v>0</v>
      </c>
      <c r="W37" s="9">
        <f t="shared" si="12"/>
        <v>0</v>
      </c>
      <c r="X37" s="9" t="s">
        <v>79</v>
      </c>
      <c r="Y37" s="9">
        <f t="shared" si="13"/>
        <v>0</v>
      </c>
      <c r="Z37" s="9">
        <f t="shared" si="14"/>
        <v>0</v>
      </c>
      <c r="AA37" s="9">
        <f t="shared" si="15"/>
        <v>0</v>
      </c>
    </row>
    <row r="38" spans="3:27" x14ac:dyDescent="0.25">
      <c r="C38">
        <v>1230</v>
      </c>
      <c r="D38" t="s">
        <v>31</v>
      </c>
      <c r="E38" t="s">
        <v>20</v>
      </c>
      <c r="F38">
        <v>35</v>
      </c>
      <c r="G38" s="19" t="s">
        <v>229</v>
      </c>
      <c r="H38">
        <v>11.5</v>
      </c>
      <c r="I38" s="9">
        <f t="shared" si="0"/>
        <v>0.2007128639793479</v>
      </c>
      <c r="J38" s="9">
        <f t="shared" si="1"/>
        <v>4.2798314481339714</v>
      </c>
      <c r="K38" s="9">
        <f t="shared" si="2"/>
        <v>1.5</v>
      </c>
      <c r="L38" s="9">
        <f t="shared" si="3"/>
        <v>2.6179938779914945E-2</v>
      </c>
      <c r="M38" s="9">
        <f t="shared" si="4"/>
        <v>0.56194054932511295</v>
      </c>
      <c r="N38" s="9" t="s">
        <v>226</v>
      </c>
      <c r="O38" s="9">
        <f t="shared" si="5"/>
        <v>21.5</v>
      </c>
      <c r="P38" s="9">
        <f t="shared" si="6"/>
        <v>0.37524578917878088</v>
      </c>
      <c r="Q38" s="9">
        <f t="shared" si="7"/>
        <v>7.8676818340904902</v>
      </c>
      <c r="R38" s="16">
        <v>0</v>
      </c>
      <c r="S38" s="9">
        <f t="shared" si="8"/>
        <v>0</v>
      </c>
      <c r="T38" s="9">
        <f t="shared" si="9"/>
        <v>0</v>
      </c>
      <c r="U38" s="9">
        <f t="shared" si="10"/>
        <v>0</v>
      </c>
      <c r="V38" s="9">
        <f t="shared" si="11"/>
        <v>0</v>
      </c>
      <c r="W38" s="9">
        <f t="shared" si="12"/>
        <v>0</v>
      </c>
      <c r="X38" s="9" t="s">
        <v>79</v>
      </c>
      <c r="Y38" s="9">
        <f t="shared" si="13"/>
        <v>0</v>
      </c>
      <c r="Z38" s="9">
        <f t="shared" si="14"/>
        <v>0</v>
      </c>
      <c r="AA38" s="9">
        <f t="shared" si="15"/>
        <v>0</v>
      </c>
    </row>
    <row r="39" spans="3:27" x14ac:dyDescent="0.25">
      <c r="C39">
        <v>1229</v>
      </c>
      <c r="D39" t="s">
        <v>31</v>
      </c>
      <c r="E39" t="s">
        <v>16</v>
      </c>
      <c r="F39">
        <v>36</v>
      </c>
      <c r="G39" s="19" t="s">
        <v>229</v>
      </c>
      <c r="H39">
        <v>21.5</v>
      </c>
      <c r="I39" s="9">
        <f t="shared" si="0"/>
        <v>0.37524578917878088</v>
      </c>
      <c r="J39" s="9">
        <f t="shared" si="1"/>
        <v>7.8676818340904902</v>
      </c>
      <c r="K39" s="9">
        <f t="shared" si="2"/>
        <v>11.5</v>
      </c>
      <c r="L39" s="9">
        <f t="shared" si="3"/>
        <v>0.2007128639793479</v>
      </c>
      <c r="M39" s="9">
        <f t="shared" si="4"/>
        <v>4.2798314481339714</v>
      </c>
      <c r="N39" s="9" t="s">
        <v>226</v>
      </c>
      <c r="O39" s="9">
        <f t="shared" si="5"/>
        <v>31.5</v>
      </c>
      <c r="P39" s="9">
        <f t="shared" si="6"/>
        <v>0.5497787143782138</v>
      </c>
      <c r="Q39" s="9">
        <f t="shared" si="7"/>
        <v>11.216476688757272</v>
      </c>
      <c r="R39" s="16">
        <v>0</v>
      </c>
      <c r="S39" s="9">
        <f t="shared" si="8"/>
        <v>0</v>
      </c>
      <c r="T39" s="9">
        <f t="shared" si="9"/>
        <v>0</v>
      </c>
      <c r="U39" s="9">
        <f t="shared" si="10"/>
        <v>0</v>
      </c>
      <c r="V39" s="9">
        <f t="shared" si="11"/>
        <v>0</v>
      </c>
      <c r="W39" s="9">
        <f t="shared" si="12"/>
        <v>0</v>
      </c>
      <c r="X39" s="9" t="s">
        <v>79</v>
      </c>
      <c r="Y39" s="9">
        <f t="shared" si="13"/>
        <v>0</v>
      </c>
      <c r="Z39" s="9">
        <f t="shared" si="14"/>
        <v>0</v>
      </c>
      <c r="AA39" s="9">
        <f t="shared" si="15"/>
        <v>0</v>
      </c>
    </row>
    <row r="40" spans="3:27" x14ac:dyDescent="0.25">
      <c r="C40">
        <v>1228</v>
      </c>
      <c r="D40" t="s">
        <v>31</v>
      </c>
      <c r="E40" t="s">
        <v>21</v>
      </c>
      <c r="F40">
        <v>37</v>
      </c>
      <c r="G40" s="19" t="s">
        <v>229</v>
      </c>
      <c r="H40">
        <v>11.4</v>
      </c>
      <c r="I40" s="9">
        <f t="shared" si="0"/>
        <v>0.19896753472735357</v>
      </c>
      <c r="J40" s="9">
        <f t="shared" si="1"/>
        <v>4.243110125918701</v>
      </c>
      <c r="K40" s="9">
        <f t="shared" si="2"/>
        <v>1.4000000000000004</v>
      </c>
      <c r="L40" s="9">
        <f t="shared" si="3"/>
        <v>2.443460952792062E-2</v>
      </c>
      <c r="M40" s="9">
        <f t="shared" si="4"/>
        <v>0.52448556840300531</v>
      </c>
      <c r="N40" s="9" t="s">
        <v>226</v>
      </c>
      <c r="O40" s="9">
        <f t="shared" si="5"/>
        <v>21.4</v>
      </c>
      <c r="P40" s="9">
        <f t="shared" si="6"/>
        <v>0.37350045992678649</v>
      </c>
      <c r="Q40" s="9">
        <f t="shared" si="7"/>
        <v>7.8328099293756797</v>
      </c>
      <c r="R40" s="16">
        <v>0</v>
      </c>
      <c r="S40" s="9">
        <f t="shared" si="8"/>
        <v>0</v>
      </c>
      <c r="T40" s="9">
        <f t="shared" si="9"/>
        <v>0</v>
      </c>
      <c r="U40" s="9">
        <f t="shared" si="10"/>
        <v>0</v>
      </c>
      <c r="V40" s="9">
        <f t="shared" si="11"/>
        <v>0</v>
      </c>
      <c r="W40" s="9">
        <f t="shared" si="12"/>
        <v>0</v>
      </c>
      <c r="X40" s="9" t="s">
        <v>79</v>
      </c>
      <c r="Y40" s="9">
        <f t="shared" si="13"/>
        <v>0</v>
      </c>
      <c r="Z40" s="9">
        <f t="shared" si="14"/>
        <v>0</v>
      </c>
      <c r="AA40" s="9">
        <f t="shared" si="15"/>
        <v>0</v>
      </c>
    </row>
    <row r="41" spans="3:27" x14ac:dyDescent="0.25">
      <c r="C41">
        <v>1323</v>
      </c>
      <c r="D41" t="s">
        <v>32</v>
      </c>
      <c r="E41" t="s">
        <v>11</v>
      </c>
      <c r="F41">
        <v>38</v>
      </c>
      <c r="G41" s="19" t="s">
        <v>228</v>
      </c>
      <c r="H41">
        <v>0</v>
      </c>
      <c r="I41" s="9">
        <f t="shared" si="0"/>
        <v>0</v>
      </c>
      <c r="J41" s="9">
        <f t="shared" si="1"/>
        <v>0</v>
      </c>
      <c r="K41" s="9">
        <f t="shared" si="2"/>
        <v>0</v>
      </c>
      <c r="L41" s="9">
        <f t="shared" si="3"/>
        <v>0</v>
      </c>
      <c r="M41" s="9">
        <f t="shared" si="4"/>
        <v>0</v>
      </c>
      <c r="N41" s="9" t="s">
        <v>226</v>
      </c>
      <c r="O41" s="9">
        <f t="shared" si="5"/>
        <v>0</v>
      </c>
      <c r="P41" s="9">
        <f t="shared" si="6"/>
        <v>0</v>
      </c>
      <c r="Q41" s="9">
        <f t="shared" si="7"/>
        <v>0</v>
      </c>
      <c r="R41" s="16">
        <v>4</v>
      </c>
      <c r="S41" s="9">
        <f t="shared" si="8"/>
        <v>6.9813170079773182E-2</v>
      </c>
      <c r="T41" s="9">
        <f t="shared" si="9"/>
        <v>1.4974622218651379</v>
      </c>
      <c r="U41" s="9">
        <f t="shared" si="10"/>
        <v>-6</v>
      </c>
      <c r="V41" s="9">
        <f t="shared" si="11"/>
        <v>-0.10471975511965978</v>
      </c>
      <c r="W41" s="9">
        <f t="shared" si="12"/>
        <v>2.2439125209667168</v>
      </c>
      <c r="X41" s="9" t="s">
        <v>79</v>
      </c>
      <c r="Y41" s="9">
        <f t="shared" si="13"/>
        <v>14</v>
      </c>
      <c r="Z41" s="9">
        <f t="shared" si="14"/>
        <v>0.24434609527920614</v>
      </c>
      <c r="AA41" s="9">
        <f t="shared" si="15"/>
        <v>5.193337332838067</v>
      </c>
    </row>
    <row r="42" spans="3:27" x14ac:dyDescent="0.25">
      <c r="C42">
        <v>1327</v>
      </c>
      <c r="D42" t="s">
        <v>32</v>
      </c>
      <c r="E42" t="s">
        <v>16</v>
      </c>
      <c r="F42">
        <v>39</v>
      </c>
      <c r="G42" s="19" t="s">
        <v>228</v>
      </c>
      <c r="H42">
        <v>0</v>
      </c>
      <c r="I42" s="9">
        <f t="shared" si="0"/>
        <v>0</v>
      </c>
      <c r="J42" s="9">
        <f t="shared" si="1"/>
        <v>0</v>
      </c>
      <c r="K42" s="9">
        <f t="shared" si="2"/>
        <v>0</v>
      </c>
      <c r="L42" s="9">
        <f t="shared" si="3"/>
        <v>0</v>
      </c>
      <c r="M42" s="9">
        <f t="shared" si="4"/>
        <v>0</v>
      </c>
      <c r="N42" s="9" t="s">
        <v>226</v>
      </c>
      <c r="O42" s="9">
        <f t="shared" si="5"/>
        <v>0</v>
      </c>
      <c r="P42" s="9">
        <f t="shared" si="6"/>
        <v>0</v>
      </c>
      <c r="Q42" s="9">
        <f t="shared" si="7"/>
        <v>0</v>
      </c>
      <c r="R42" s="16">
        <v>0</v>
      </c>
      <c r="S42" s="9">
        <f t="shared" si="8"/>
        <v>0</v>
      </c>
      <c r="T42" s="9">
        <f t="shared" si="9"/>
        <v>0</v>
      </c>
      <c r="U42" s="9">
        <f t="shared" si="10"/>
        <v>-10</v>
      </c>
      <c r="V42" s="9">
        <f t="shared" si="11"/>
        <v>-0.17453292519943295</v>
      </c>
      <c r="W42" s="9">
        <f t="shared" si="12"/>
        <v>3.7277054299759933</v>
      </c>
      <c r="X42" s="9" t="s">
        <v>79</v>
      </c>
      <c r="Y42" s="9">
        <f t="shared" si="13"/>
        <v>10</v>
      </c>
      <c r="Z42" s="9">
        <f t="shared" si="14"/>
        <v>0.17453292519943295</v>
      </c>
      <c r="AA42" s="9">
        <f t="shared" si="15"/>
        <v>3.7277054299759933</v>
      </c>
    </row>
    <row r="43" spans="3:27" x14ac:dyDescent="0.25">
      <c r="C43">
        <v>1328</v>
      </c>
      <c r="D43" t="s">
        <v>32</v>
      </c>
      <c r="E43" t="s">
        <v>13</v>
      </c>
      <c r="F43">
        <v>40</v>
      </c>
      <c r="G43" s="19" t="s">
        <v>228</v>
      </c>
      <c r="H43">
        <v>0</v>
      </c>
      <c r="I43" s="9">
        <f t="shared" si="0"/>
        <v>0</v>
      </c>
      <c r="J43" s="9">
        <f t="shared" si="1"/>
        <v>0</v>
      </c>
      <c r="K43" s="9">
        <f t="shared" si="2"/>
        <v>0</v>
      </c>
      <c r="L43" s="9">
        <f t="shared" si="3"/>
        <v>0</v>
      </c>
      <c r="M43" s="9">
        <f t="shared" si="4"/>
        <v>0</v>
      </c>
      <c r="N43" s="9" t="s">
        <v>226</v>
      </c>
      <c r="O43" s="9">
        <f t="shared" si="5"/>
        <v>0</v>
      </c>
      <c r="P43" s="9">
        <f t="shared" si="6"/>
        <v>0</v>
      </c>
      <c r="Q43" s="9">
        <f t="shared" si="7"/>
        <v>0</v>
      </c>
      <c r="R43" s="16">
        <v>0</v>
      </c>
      <c r="S43" s="9">
        <f t="shared" si="8"/>
        <v>0</v>
      </c>
      <c r="T43" s="9">
        <f t="shared" si="9"/>
        <v>0</v>
      </c>
      <c r="U43" s="9">
        <f t="shared" si="10"/>
        <v>-10</v>
      </c>
      <c r="V43" s="9">
        <f t="shared" si="11"/>
        <v>-0.17453292519943295</v>
      </c>
      <c r="W43" s="9">
        <f t="shared" si="12"/>
        <v>3.7277054299759933</v>
      </c>
      <c r="X43" s="9" t="s">
        <v>79</v>
      </c>
      <c r="Y43" s="9">
        <f t="shared" si="13"/>
        <v>10</v>
      </c>
      <c r="Z43" s="9">
        <f t="shared" si="14"/>
        <v>0.17453292519943295</v>
      </c>
      <c r="AA43" s="9">
        <f t="shared" si="15"/>
        <v>3.7277054299759933</v>
      </c>
    </row>
    <row r="44" spans="3:27" x14ac:dyDescent="0.25">
      <c r="C44">
        <v>1324</v>
      </c>
      <c r="D44" t="s">
        <v>32</v>
      </c>
      <c r="E44" t="s">
        <v>21</v>
      </c>
      <c r="F44">
        <v>41</v>
      </c>
      <c r="G44" s="19" t="s">
        <v>229</v>
      </c>
      <c r="H44">
        <v>11.4</v>
      </c>
      <c r="I44" s="9">
        <f t="shared" si="0"/>
        <v>0.19896753472735357</v>
      </c>
      <c r="J44" s="9">
        <f t="shared" si="1"/>
        <v>4.243110125918701</v>
      </c>
      <c r="K44" s="9">
        <f t="shared" si="2"/>
        <v>1.4000000000000004</v>
      </c>
      <c r="L44" s="9">
        <f t="shared" si="3"/>
        <v>2.443460952792062E-2</v>
      </c>
      <c r="M44" s="9">
        <f t="shared" si="4"/>
        <v>0.52448556840300531</v>
      </c>
      <c r="N44" s="9" t="s">
        <v>226</v>
      </c>
      <c r="O44" s="9">
        <f t="shared" si="5"/>
        <v>21.4</v>
      </c>
      <c r="P44" s="9">
        <f t="shared" si="6"/>
        <v>0.37350045992678649</v>
      </c>
      <c r="Q44" s="9">
        <f t="shared" si="7"/>
        <v>7.8328099293756797</v>
      </c>
      <c r="R44" s="16">
        <v>0</v>
      </c>
      <c r="S44" s="9">
        <f t="shared" si="8"/>
        <v>0</v>
      </c>
      <c r="T44" s="9">
        <f t="shared" si="9"/>
        <v>0</v>
      </c>
      <c r="U44" s="9">
        <f t="shared" si="10"/>
        <v>0</v>
      </c>
      <c r="V44" s="9">
        <f t="shared" si="11"/>
        <v>0</v>
      </c>
      <c r="W44" s="9">
        <f t="shared" si="12"/>
        <v>0</v>
      </c>
      <c r="X44" s="9" t="s">
        <v>79</v>
      </c>
      <c r="Y44" s="9">
        <f t="shared" si="13"/>
        <v>0</v>
      </c>
      <c r="Z44" s="9">
        <f t="shared" si="14"/>
        <v>0</v>
      </c>
      <c r="AA44" s="9">
        <f t="shared" si="15"/>
        <v>0</v>
      </c>
    </row>
    <row r="45" spans="3:27" x14ac:dyDescent="0.25">
      <c r="C45">
        <v>636</v>
      </c>
      <c r="D45" t="s">
        <v>33</v>
      </c>
      <c r="E45" t="s">
        <v>13</v>
      </c>
      <c r="F45">
        <v>42</v>
      </c>
      <c r="G45" s="19" t="s">
        <v>228</v>
      </c>
      <c r="H45">
        <v>0</v>
      </c>
      <c r="I45" s="9">
        <f t="shared" si="0"/>
        <v>0</v>
      </c>
      <c r="J45" s="9">
        <f t="shared" si="1"/>
        <v>0</v>
      </c>
      <c r="K45" s="9">
        <f t="shared" si="2"/>
        <v>0</v>
      </c>
      <c r="L45" s="9">
        <f t="shared" si="3"/>
        <v>0</v>
      </c>
      <c r="M45" s="9">
        <f t="shared" si="4"/>
        <v>0</v>
      </c>
      <c r="N45" s="9" t="s">
        <v>226</v>
      </c>
      <c r="O45" s="9">
        <f t="shared" si="5"/>
        <v>0</v>
      </c>
      <c r="P45" s="9">
        <f t="shared" si="6"/>
        <v>0</v>
      </c>
      <c r="Q45" s="9">
        <f t="shared" si="7"/>
        <v>0</v>
      </c>
      <c r="R45" s="16">
        <v>-4</v>
      </c>
      <c r="S45" s="9">
        <f t="shared" si="8"/>
        <v>-6.9813170079773182E-2</v>
      </c>
      <c r="T45" s="9">
        <f t="shared" si="9"/>
        <v>1.4974622218651379</v>
      </c>
      <c r="U45" s="9">
        <f t="shared" si="10"/>
        <v>-14</v>
      </c>
      <c r="V45" s="9">
        <f t="shared" si="11"/>
        <v>-0.24434609527920614</v>
      </c>
      <c r="W45" s="9">
        <f t="shared" si="12"/>
        <v>5.193337332838067</v>
      </c>
      <c r="X45" s="9" t="s">
        <v>79</v>
      </c>
      <c r="Y45" s="9">
        <f t="shared" si="13"/>
        <v>6</v>
      </c>
      <c r="Z45" s="9">
        <f t="shared" si="14"/>
        <v>0.10471975511965978</v>
      </c>
      <c r="AA45" s="9">
        <f t="shared" si="15"/>
        <v>2.2439125209667168</v>
      </c>
    </row>
    <row r="46" spans="3:27" x14ac:dyDescent="0.25">
      <c r="C46">
        <v>618</v>
      </c>
      <c r="D46" t="s">
        <v>33</v>
      </c>
      <c r="E46" t="s">
        <v>16</v>
      </c>
      <c r="F46">
        <v>43</v>
      </c>
      <c r="G46" s="19" t="s">
        <v>228</v>
      </c>
      <c r="H46">
        <v>0</v>
      </c>
      <c r="I46" s="9">
        <f t="shared" si="0"/>
        <v>0</v>
      </c>
      <c r="J46" s="9">
        <f t="shared" si="1"/>
        <v>0</v>
      </c>
      <c r="K46" s="9">
        <f t="shared" si="2"/>
        <v>0</v>
      </c>
      <c r="L46" s="9">
        <f t="shared" si="3"/>
        <v>0</v>
      </c>
      <c r="M46" s="9">
        <f t="shared" si="4"/>
        <v>0</v>
      </c>
      <c r="N46" s="9" t="s">
        <v>226</v>
      </c>
      <c r="O46" s="9">
        <f t="shared" si="5"/>
        <v>0</v>
      </c>
      <c r="P46" s="9">
        <f t="shared" si="6"/>
        <v>0</v>
      </c>
      <c r="Q46" s="9">
        <f t="shared" si="7"/>
        <v>0</v>
      </c>
      <c r="R46" s="16">
        <v>0</v>
      </c>
      <c r="S46" s="9">
        <f t="shared" si="8"/>
        <v>0</v>
      </c>
      <c r="T46" s="9">
        <f t="shared" si="9"/>
        <v>0</v>
      </c>
      <c r="U46" s="9">
        <f t="shared" si="10"/>
        <v>-10</v>
      </c>
      <c r="V46" s="9">
        <f t="shared" si="11"/>
        <v>-0.17453292519943295</v>
      </c>
      <c r="W46" s="9">
        <f t="shared" si="12"/>
        <v>3.7277054299759933</v>
      </c>
      <c r="X46" s="9" t="s">
        <v>79</v>
      </c>
      <c r="Y46" s="9">
        <f t="shared" si="13"/>
        <v>10</v>
      </c>
      <c r="Z46" s="9">
        <f t="shared" si="14"/>
        <v>0.17453292519943295</v>
      </c>
      <c r="AA46" s="9">
        <f t="shared" si="15"/>
        <v>3.7277054299759933</v>
      </c>
    </row>
    <row r="47" spans="3:27" x14ac:dyDescent="0.25">
      <c r="C47">
        <v>2425</v>
      </c>
      <c r="D47" t="s">
        <v>33</v>
      </c>
      <c r="E47" t="s">
        <v>11</v>
      </c>
      <c r="F47">
        <v>44</v>
      </c>
      <c r="G47" s="19" t="s">
        <v>228</v>
      </c>
      <c r="H47">
        <v>0</v>
      </c>
      <c r="I47" s="9">
        <f t="shared" si="0"/>
        <v>0</v>
      </c>
      <c r="J47" s="9">
        <f t="shared" si="1"/>
        <v>0</v>
      </c>
      <c r="K47" s="9">
        <f t="shared" si="2"/>
        <v>0</v>
      </c>
      <c r="L47" s="9">
        <f t="shared" si="3"/>
        <v>0</v>
      </c>
      <c r="M47" s="9">
        <f t="shared" si="4"/>
        <v>0</v>
      </c>
      <c r="N47" s="9" t="s">
        <v>226</v>
      </c>
      <c r="O47" s="9">
        <f t="shared" si="5"/>
        <v>0</v>
      </c>
      <c r="P47" s="9">
        <f t="shared" si="6"/>
        <v>0</v>
      </c>
      <c r="Q47" s="9">
        <f t="shared" si="7"/>
        <v>0</v>
      </c>
      <c r="R47" s="17">
        <v>0</v>
      </c>
      <c r="S47" s="9">
        <f t="shared" si="8"/>
        <v>0</v>
      </c>
      <c r="T47" s="9">
        <f t="shared" si="9"/>
        <v>0</v>
      </c>
      <c r="U47" s="9">
        <f t="shared" si="10"/>
        <v>-10</v>
      </c>
      <c r="V47" s="9">
        <f t="shared" si="11"/>
        <v>-0.17453292519943295</v>
      </c>
      <c r="W47" s="9">
        <f t="shared" si="12"/>
        <v>3.7277054299759933</v>
      </c>
      <c r="X47" s="9" t="s">
        <v>79</v>
      </c>
      <c r="Y47" s="9">
        <f t="shared" si="13"/>
        <v>10</v>
      </c>
      <c r="Z47" s="9">
        <f t="shared" si="14"/>
        <v>0.17453292519943295</v>
      </c>
      <c r="AA47" s="9">
        <f t="shared" si="15"/>
        <v>3.7277054299759933</v>
      </c>
    </row>
    <row r="48" spans="3:27" x14ac:dyDescent="0.25">
      <c r="C48">
        <v>617</v>
      </c>
      <c r="D48" t="s">
        <v>33</v>
      </c>
      <c r="E48" t="s">
        <v>21</v>
      </c>
      <c r="F48">
        <v>45</v>
      </c>
      <c r="G48" s="19" t="s">
        <v>229</v>
      </c>
      <c r="H48">
        <v>11.4</v>
      </c>
      <c r="I48" s="9">
        <f t="shared" si="0"/>
        <v>0.19896753472735357</v>
      </c>
      <c r="J48" s="9">
        <f t="shared" si="1"/>
        <v>4.243110125918701</v>
      </c>
      <c r="K48" s="9">
        <f t="shared" si="2"/>
        <v>1.4000000000000004</v>
      </c>
      <c r="L48" s="9">
        <f t="shared" si="3"/>
        <v>2.443460952792062E-2</v>
      </c>
      <c r="M48" s="9">
        <f t="shared" si="4"/>
        <v>0.52448556840300531</v>
      </c>
      <c r="N48" s="9" t="s">
        <v>226</v>
      </c>
      <c r="O48" s="9">
        <f t="shared" si="5"/>
        <v>21.4</v>
      </c>
      <c r="P48" s="9">
        <f t="shared" si="6"/>
        <v>0.37350045992678649</v>
      </c>
      <c r="Q48" s="9">
        <f t="shared" si="7"/>
        <v>7.8328099293756797</v>
      </c>
      <c r="S48" s="9">
        <f t="shared" si="8"/>
        <v>0</v>
      </c>
      <c r="T48" s="9">
        <f t="shared" si="9"/>
        <v>0</v>
      </c>
      <c r="U48" s="9">
        <f t="shared" si="10"/>
        <v>0</v>
      </c>
      <c r="V48" s="9">
        <f t="shared" si="11"/>
        <v>0</v>
      </c>
      <c r="W48" s="9">
        <f t="shared" si="12"/>
        <v>0</v>
      </c>
      <c r="X48" s="9" t="s">
        <v>79</v>
      </c>
      <c r="Y48" s="9">
        <f t="shared" si="13"/>
        <v>0</v>
      </c>
      <c r="Z48" s="9">
        <f t="shared" si="14"/>
        <v>0</v>
      </c>
      <c r="AA48" s="9">
        <f t="shared" si="15"/>
        <v>0</v>
      </c>
    </row>
    <row r="49" spans="3:27" x14ac:dyDescent="0.25">
      <c r="C49">
        <v>446</v>
      </c>
      <c r="D49" t="s">
        <v>347</v>
      </c>
      <c r="E49" t="s">
        <v>348</v>
      </c>
      <c r="F49">
        <v>46</v>
      </c>
      <c r="G49" s="19" t="s">
        <v>229</v>
      </c>
      <c r="H49">
        <v>0</v>
      </c>
      <c r="I49" s="9">
        <f t="shared" si="0"/>
        <v>0</v>
      </c>
      <c r="J49" s="9">
        <f t="shared" si="1"/>
        <v>0</v>
      </c>
      <c r="K49" s="9">
        <f t="shared" si="2"/>
        <v>-10</v>
      </c>
      <c r="L49" s="9">
        <f t="shared" si="3"/>
        <v>-0.17453292519943295</v>
      </c>
      <c r="M49" s="9">
        <f t="shared" si="4"/>
        <v>3.7277054299759933</v>
      </c>
      <c r="N49" s="9" t="s">
        <v>226</v>
      </c>
      <c r="O49" s="9">
        <f t="shared" si="5"/>
        <v>10</v>
      </c>
      <c r="P49" s="9">
        <f t="shared" si="6"/>
        <v>0.17453292519943295</v>
      </c>
      <c r="Q49" s="9">
        <f t="shared" si="7"/>
        <v>3.7277054299759933</v>
      </c>
      <c r="S49" s="9">
        <f t="shared" si="8"/>
        <v>0</v>
      </c>
      <c r="T49" s="9">
        <f t="shared" si="9"/>
        <v>0</v>
      </c>
      <c r="U49" s="9">
        <f t="shared" si="10"/>
        <v>0</v>
      </c>
      <c r="V49" s="9">
        <f t="shared" si="11"/>
        <v>0</v>
      </c>
      <c r="W49" s="9">
        <f t="shared" si="12"/>
        <v>0</v>
      </c>
      <c r="X49" s="9" t="s">
        <v>79</v>
      </c>
      <c r="Y49" s="9">
        <f t="shared" si="13"/>
        <v>0</v>
      </c>
      <c r="Z49" s="9">
        <f t="shared" si="14"/>
        <v>0</v>
      </c>
      <c r="AA49" s="9">
        <f t="shared" si="15"/>
        <v>0</v>
      </c>
    </row>
    <row r="50" spans="3:27" x14ac:dyDescent="0.25">
      <c r="C50">
        <v>409</v>
      </c>
      <c r="D50" t="s">
        <v>347</v>
      </c>
      <c r="E50" t="s">
        <v>349</v>
      </c>
      <c r="F50">
        <v>47</v>
      </c>
      <c r="G50" s="19" t="s">
        <v>229</v>
      </c>
      <c r="H50">
        <v>11.4</v>
      </c>
      <c r="I50" s="9">
        <f t="shared" si="0"/>
        <v>0.19896753472735357</v>
      </c>
      <c r="J50" s="9">
        <f t="shared" si="1"/>
        <v>4.243110125918701</v>
      </c>
      <c r="K50" s="9">
        <f t="shared" si="2"/>
        <v>1.4000000000000004</v>
      </c>
      <c r="L50" s="9">
        <f t="shared" si="3"/>
        <v>2.443460952792062E-2</v>
      </c>
      <c r="M50" s="9">
        <f t="shared" si="4"/>
        <v>0.52448556840300531</v>
      </c>
      <c r="N50" s="9" t="s">
        <v>226</v>
      </c>
      <c r="O50" s="9">
        <f t="shared" si="5"/>
        <v>21.4</v>
      </c>
      <c r="P50" s="9">
        <f t="shared" si="6"/>
        <v>0.37350045992678649</v>
      </c>
      <c r="Q50" s="9">
        <f t="shared" si="7"/>
        <v>7.8328099293756797</v>
      </c>
      <c r="S50" s="9">
        <f t="shared" si="8"/>
        <v>0</v>
      </c>
      <c r="T50" s="9">
        <f t="shared" si="9"/>
        <v>0</v>
      </c>
      <c r="U50" s="9">
        <f t="shared" si="10"/>
        <v>0</v>
      </c>
      <c r="V50" s="9">
        <f t="shared" si="11"/>
        <v>0</v>
      </c>
      <c r="W50" s="9">
        <f t="shared" si="12"/>
        <v>0</v>
      </c>
      <c r="X50" s="9" t="s">
        <v>79</v>
      </c>
      <c r="Y50" s="9">
        <f t="shared" si="13"/>
        <v>0</v>
      </c>
      <c r="Z50" s="9">
        <f t="shared" si="14"/>
        <v>0</v>
      </c>
      <c r="AA50" s="9">
        <f t="shared" si="15"/>
        <v>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autoLine="0" r:id="rId5">
            <anchor moveWithCells="1">
              <from>
                <xdr:col>0</xdr:col>
                <xdr:colOff>104775</xdr:colOff>
                <xdr:row>0</xdr:row>
                <xdr:rowOff>47625</xdr:rowOff>
              </from>
              <to>
                <xdr:col>0</xdr:col>
                <xdr:colOff>1019175</xdr:colOff>
                <xdr:row>1</xdr:row>
                <xdr:rowOff>161925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autoLine="0" r:id="rId7">
            <anchor moveWithCells="1">
              <from>
                <xdr:col>1</xdr:col>
                <xdr:colOff>38100</xdr:colOff>
                <xdr:row>0</xdr:row>
                <xdr:rowOff>57150</xdr:rowOff>
              </from>
              <to>
                <xdr:col>1</xdr:col>
                <xdr:colOff>952500</xdr:colOff>
                <xdr:row>1</xdr:row>
                <xdr:rowOff>171450</xdr:rowOff>
              </to>
            </anchor>
          </controlPr>
        </control>
      </mc:Choice>
      <mc:Fallback>
        <control shapeId="3074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ssStartUp, -17 pitch, +10 yaw</vt:lpstr>
      <vt:lpstr>ssStartUp, -7 pitch</vt:lpstr>
      <vt:lpstr>ssStartup, +15 pitch, +10 yaw</vt:lpstr>
      <vt:lpstr>Sheet1</vt:lpstr>
      <vt:lpstr>ssStartUp, +5 pitch</vt:lpstr>
      <vt:lpstr>Sheet1!femap_dump</vt:lpstr>
    </vt:vector>
  </TitlesOfParts>
  <Company>NASA ACES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kpederso</dc:creator>
  <cp:lastModifiedBy>kpederso</cp:lastModifiedBy>
  <cp:lastPrinted>2017-08-28T19:46:49Z</cp:lastPrinted>
  <dcterms:created xsi:type="dcterms:W3CDTF">2017-08-17T14:55:24Z</dcterms:created>
  <dcterms:modified xsi:type="dcterms:W3CDTF">2018-01-04T21:59:31Z</dcterms:modified>
</cp:coreProperties>
</file>